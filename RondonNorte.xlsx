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24226"/>
  <xr:revisionPtr revIDLastSave="444" documentId="11_E9085D274D0F9E873563F9698B83551E2BF62FAE" xr6:coauthVersionLast="47" xr6:coauthVersionMax="47" xr10:uidLastSave="{AFCA3EC7-1C3E-4AC8-857F-7CC9710FA036}"/>
  <bookViews>
    <workbookView xWindow="360" yWindow="135" windowWidth="13395" windowHeight="495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6" i="1" l="1"/>
  <c r="N46" i="1"/>
  <c r="J46" i="1"/>
  <c r="F46" i="1"/>
  <c r="S45" i="1"/>
  <c r="N45" i="1"/>
  <c r="J45" i="1"/>
  <c r="F45" i="1"/>
  <c r="S44" i="1"/>
  <c r="N44" i="1"/>
  <c r="J44" i="1"/>
  <c r="F44" i="1"/>
  <c r="S43" i="1"/>
  <c r="N43" i="1"/>
  <c r="J43" i="1"/>
  <c r="F43" i="1"/>
  <c r="S148" i="1"/>
  <c r="N148" i="1"/>
  <c r="S151" i="1"/>
  <c r="N151" i="1" s="1"/>
  <c r="S150" i="1"/>
  <c r="N150" i="1" s="1"/>
  <c r="S149" i="1"/>
  <c r="N149" i="1" s="1"/>
  <c r="S135" i="1"/>
  <c r="S134" i="1"/>
  <c r="S133" i="1"/>
  <c r="S117" i="1"/>
  <c r="S116" i="1"/>
  <c r="S115" i="1"/>
  <c r="S114" i="1"/>
  <c r="S99" i="1"/>
  <c r="S98" i="1"/>
  <c r="S97" i="1"/>
  <c r="S81" i="1"/>
  <c r="S80" i="1"/>
  <c r="S79" i="1"/>
  <c r="S78" i="1"/>
  <c r="S63" i="1"/>
  <c r="S62" i="1"/>
  <c r="S61" i="1"/>
  <c r="S60" i="1"/>
  <c r="S28" i="1"/>
  <c r="S27" i="1"/>
  <c r="S26" i="1"/>
  <c r="S25" i="1"/>
  <c r="S8" i="1"/>
  <c r="S9" i="1"/>
  <c r="S10" i="1"/>
  <c r="S7" i="1"/>
  <c r="S132" i="1"/>
  <c r="J132" i="1" s="1"/>
  <c r="F132" i="1"/>
  <c r="R7" i="1" l="1"/>
  <c r="N7" i="1"/>
  <c r="J7" i="1"/>
  <c r="F7" i="1"/>
  <c r="R10" i="1"/>
  <c r="N10" i="1"/>
  <c r="J10" i="1"/>
  <c r="F10" i="1"/>
  <c r="R9" i="1"/>
  <c r="N9" i="1"/>
  <c r="J9" i="1"/>
  <c r="F9" i="1"/>
  <c r="R8" i="1"/>
  <c r="N8" i="1"/>
  <c r="J8" i="1"/>
  <c r="F8" i="1"/>
  <c r="R25" i="1"/>
  <c r="N25" i="1"/>
  <c r="J25" i="1"/>
  <c r="F25" i="1"/>
  <c r="F26" i="1"/>
  <c r="J26" i="1"/>
  <c r="N26" i="1"/>
  <c r="R26" i="1"/>
  <c r="F27" i="1"/>
  <c r="J27" i="1"/>
  <c r="N27" i="1"/>
  <c r="R27" i="1"/>
  <c r="F28" i="1"/>
  <c r="J28" i="1"/>
  <c r="N28" i="1"/>
  <c r="R28" i="1"/>
  <c r="R60" i="1"/>
  <c r="N60" i="1"/>
  <c r="J60" i="1"/>
  <c r="F60" i="1"/>
  <c r="R61" i="1"/>
  <c r="N61" i="1"/>
  <c r="J61" i="1"/>
  <c r="F61" i="1"/>
  <c r="R62" i="1"/>
  <c r="N62" i="1"/>
  <c r="J62" i="1"/>
  <c r="F62" i="1"/>
  <c r="R63" i="1"/>
  <c r="N63" i="1"/>
  <c r="J63" i="1"/>
  <c r="F63" i="1"/>
  <c r="R78" i="1"/>
  <c r="N78" i="1"/>
  <c r="J78" i="1"/>
  <c r="F78" i="1"/>
  <c r="F79" i="1"/>
  <c r="J79" i="1"/>
  <c r="N79" i="1"/>
  <c r="R79" i="1"/>
  <c r="F80" i="1"/>
  <c r="J80" i="1"/>
  <c r="N80" i="1"/>
  <c r="R80" i="1"/>
  <c r="F81" i="1"/>
  <c r="J81" i="1"/>
  <c r="N81" i="1"/>
  <c r="R81" i="1"/>
  <c r="R97" i="1"/>
  <c r="N97" i="1"/>
  <c r="J97" i="1"/>
  <c r="F97" i="1"/>
  <c r="R98" i="1"/>
  <c r="N98" i="1"/>
  <c r="J98" i="1"/>
  <c r="F98" i="1"/>
  <c r="R99" i="1"/>
  <c r="N99" i="1"/>
  <c r="J99" i="1"/>
  <c r="F99" i="1"/>
  <c r="R114" i="1"/>
  <c r="N114" i="1"/>
  <c r="J114" i="1"/>
  <c r="F114" i="1"/>
  <c r="N115" i="1"/>
  <c r="J115" i="1"/>
  <c r="F115" i="1"/>
  <c r="N116" i="1"/>
  <c r="J116" i="1"/>
  <c r="F116" i="1"/>
  <c r="N117" i="1"/>
  <c r="J117" i="1"/>
  <c r="F117" i="1"/>
  <c r="J133" i="1"/>
  <c r="F133" i="1"/>
  <c r="J134" i="1"/>
  <c r="F134" i="1"/>
  <c r="J135" i="1"/>
  <c r="F135" i="1"/>
  <c r="J149" i="1"/>
  <c r="F149" i="1"/>
  <c r="J150" i="1"/>
  <c r="F150" i="1"/>
  <c r="J151" i="1"/>
  <c r="F151" i="1"/>
  <c r="J148" i="1"/>
  <c r="F148" i="1"/>
  <c r="S96" i="1"/>
  <c r="R96" i="1" l="1"/>
  <c r="N96" i="1"/>
  <c r="J96" i="1"/>
  <c r="F96" i="1"/>
</calcChain>
</file>

<file path=xl/sharedStrings.xml><?xml version="1.0" encoding="utf-8"?>
<sst xmlns="http://schemas.openxmlformats.org/spreadsheetml/2006/main" count="326" uniqueCount="47">
  <si>
    <t>TEMPOS E PLANOS SEMAFÓRICOS</t>
  </si>
  <si>
    <t>Av. Rondon Pacheco x Av. Benjamim Magalhães</t>
  </si>
  <si>
    <t>Estágios</t>
  </si>
  <si>
    <t>A</t>
  </si>
  <si>
    <t>B</t>
  </si>
  <si>
    <t>C</t>
  </si>
  <si>
    <t>D</t>
  </si>
  <si>
    <t>Verde</t>
  </si>
  <si>
    <t xml:space="preserve">Amarelo </t>
  </si>
  <si>
    <t>Vermelho Limpeza</t>
  </si>
  <si>
    <t>Vermelho</t>
  </si>
  <si>
    <t>Ciclo total</t>
  </si>
  <si>
    <t>Planos</t>
  </si>
  <si>
    <t xml:space="preserve">Defasagem </t>
  </si>
  <si>
    <t>*Valores em segundos</t>
  </si>
  <si>
    <t>Identificação dos estágios/fases</t>
  </si>
  <si>
    <t>ESTÁGIOS</t>
  </si>
  <si>
    <t>FASES</t>
  </si>
  <si>
    <t xml:space="preserve">A </t>
  </si>
  <si>
    <t>Av. Rondon Pacheco nos dois sentidos</t>
  </si>
  <si>
    <t>Av. Benjamim Magalhães</t>
  </si>
  <si>
    <t>Rua Alagoas</t>
  </si>
  <si>
    <t xml:space="preserve">D </t>
  </si>
  <si>
    <t>Pedestres</t>
  </si>
  <si>
    <t>Av. Rondon Pacheco x Rua Paraná</t>
  </si>
  <si>
    <t>Av. Rondon Pacheco sentido Rio Uberabinha</t>
  </si>
  <si>
    <t>Av. Rondon Pacheco sentido BR050</t>
  </si>
  <si>
    <t>Rua Paraná sentido bairro Tibery</t>
  </si>
  <si>
    <t>Rua Paraná sentido bairro Brasil</t>
  </si>
  <si>
    <t>Av. Cesário Alvin x Rua Paraná</t>
  </si>
  <si>
    <t>Av. Cesário Alvin</t>
  </si>
  <si>
    <t>Av. Rondon Pacheco x Rua Porto Alegre</t>
  </si>
  <si>
    <t>Av. Rondon Pacheco sentido BR050 e conversão à esquerda</t>
  </si>
  <si>
    <t>Rua Porto Alegre</t>
  </si>
  <si>
    <t>Av. Rondon Pacheco x Rua Belém</t>
  </si>
  <si>
    <t>Av. Rondon Pacheco sentido centro</t>
  </si>
  <si>
    <t>Rua Belém</t>
  </si>
  <si>
    <t>Av. Rondon Pacheco x Rua Antônio Crescêncio</t>
  </si>
  <si>
    <t xml:space="preserve">Av. Rondon Pacheco sentido BR050  </t>
  </si>
  <si>
    <t>Rua Antônio Crescêncio</t>
  </si>
  <si>
    <t>Av. Rondon Pacheco x Rua Niterói</t>
  </si>
  <si>
    <t>Av. Rondon Pacheco sentido centro e conversão à esquerda</t>
  </si>
  <si>
    <t>Rua Niterói</t>
  </si>
  <si>
    <t>Av. Rondon Pacheco x Av. João Naves de Ávila</t>
  </si>
  <si>
    <t xml:space="preserve">Av. Rondon Pacheco sentido centro </t>
  </si>
  <si>
    <t>Av. Rondon Pacheco x Av. Anselmo Alves do Nascimento</t>
  </si>
  <si>
    <t>Av. Anselmo Alves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</si>
</sst>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20" fontId="0" fillId="0" borderId="0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5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8"/>
  <sheetViews>
    <sheetView tabSelected="1" workbookViewId="0">
      <selection sqref="A1:R1"/>
    </sheetView>
  </sheetViews>
  <sheetFormatPr defaultRowHeight="15"/>
  <cols>
    <col min="1" max="1" width="9.5703125" bestFit="1" customWidth="1"/>
    <col min="2" max="2" width="11.28515625" bestFit="1" customWidth="1"/>
    <col min="3" max="18" width="8.28515625" customWidth="1"/>
  </cols>
  <sheetData>
    <row r="1" spans="1:19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3" spans="1:19">
      <c r="A3" s="38" t="s">
        <v>1</v>
      </c>
      <c r="B3" s="38"/>
      <c r="C3" s="38"/>
      <c r="D3" s="38"/>
      <c r="E3" s="38"/>
      <c r="F3" s="38"/>
      <c r="G3" s="39"/>
      <c r="H3" s="39"/>
      <c r="I3" s="39"/>
      <c r="J3" s="39"/>
      <c r="K3" s="39"/>
      <c r="L3" s="39"/>
      <c r="M3" s="39"/>
      <c r="N3" s="39"/>
      <c r="O3" s="38"/>
      <c r="P3" s="38"/>
      <c r="Q3" s="38"/>
      <c r="R3" s="38"/>
    </row>
    <row r="4" spans="1:19">
      <c r="A4" s="1" t="s">
        <v>2</v>
      </c>
      <c r="B4" s="15"/>
      <c r="C4" s="28" t="s">
        <v>3</v>
      </c>
      <c r="D4" s="29"/>
      <c r="E4" s="29"/>
      <c r="F4" s="29"/>
      <c r="G4" s="30" t="s">
        <v>4</v>
      </c>
      <c r="H4" s="30"/>
      <c r="I4" s="30"/>
      <c r="J4" s="31"/>
      <c r="K4" s="32" t="s">
        <v>5</v>
      </c>
      <c r="L4" s="32"/>
      <c r="M4" s="32"/>
      <c r="N4" s="32"/>
      <c r="O4" s="33" t="s">
        <v>6</v>
      </c>
      <c r="P4" s="33"/>
      <c r="Q4" s="33"/>
      <c r="R4" s="34"/>
    </row>
    <row r="5" spans="1:19" ht="27">
      <c r="A5" s="3"/>
      <c r="B5" s="3"/>
      <c r="C5" s="5" t="s">
        <v>7</v>
      </c>
      <c r="D5" s="5" t="s">
        <v>8</v>
      </c>
      <c r="E5" s="5" t="s">
        <v>9</v>
      </c>
      <c r="F5" s="5" t="s">
        <v>10</v>
      </c>
      <c r="G5" s="17" t="s">
        <v>7</v>
      </c>
      <c r="H5" s="17" t="s">
        <v>8</v>
      </c>
      <c r="I5" s="17" t="s">
        <v>9</v>
      </c>
      <c r="J5" s="17" t="s">
        <v>10</v>
      </c>
      <c r="K5" s="18" t="s">
        <v>7</v>
      </c>
      <c r="L5" s="18" t="s">
        <v>8</v>
      </c>
      <c r="M5" s="18" t="s">
        <v>9</v>
      </c>
      <c r="N5" s="18" t="s">
        <v>10</v>
      </c>
      <c r="O5" s="4" t="s">
        <v>7</v>
      </c>
      <c r="P5" s="4" t="s">
        <v>8</v>
      </c>
      <c r="Q5" s="4" t="s">
        <v>9</v>
      </c>
      <c r="R5" s="4" t="s">
        <v>10</v>
      </c>
      <c r="S5" s="20" t="s">
        <v>11</v>
      </c>
    </row>
    <row r="6" spans="1:19">
      <c r="A6" s="2" t="s">
        <v>12</v>
      </c>
      <c r="B6" s="6" t="s">
        <v>13</v>
      </c>
      <c r="C6" s="35"/>
      <c r="D6" s="36"/>
      <c r="E6" s="36"/>
      <c r="F6" s="37"/>
      <c r="G6" s="35"/>
      <c r="H6" s="36"/>
      <c r="I6" s="36"/>
      <c r="J6" s="36"/>
      <c r="K6" s="36"/>
      <c r="L6" s="36"/>
      <c r="M6" s="36"/>
      <c r="N6" s="36"/>
      <c r="O6" s="36"/>
      <c r="P6" s="36"/>
      <c r="Q6" s="36"/>
      <c r="R6" s="37"/>
      <c r="S6" s="13"/>
    </row>
    <row r="7" spans="1:19">
      <c r="A7" s="2">
        <v>2</v>
      </c>
      <c r="B7" s="2">
        <v>0</v>
      </c>
      <c r="C7" s="10">
        <v>10</v>
      </c>
      <c r="D7" s="9">
        <v>5</v>
      </c>
      <c r="E7" s="12">
        <v>2</v>
      </c>
      <c r="F7" s="8">
        <f>S7-C7-D7-E7</f>
        <v>53</v>
      </c>
      <c r="G7" s="11">
        <v>10</v>
      </c>
      <c r="H7" s="9">
        <v>5</v>
      </c>
      <c r="I7" s="12">
        <v>2</v>
      </c>
      <c r="J7" s="8">
        <f>S7-G7-H7-I7</f>
        <v>53</v>
      </c>
      <c r="K7" s="11">
        <v>10</v>
      </c>
      <c r="L7" s="9">
        <v>5</v>
      </c>
      <c r="M7" s="12">
        <v>2</v>
      </c>
      <c r="N7" s="8">
        <f>S7-K7-L7-M7</f>
        <v>53</v>
      </c>
      <c r="O7" s="11">
        <v>15</v>
      </c>
      <c r="P7" s="9">
        <v>4</v>
      </c>
      <c r="Q7" s="12">
        <v>0</v>
      </c>
      <c r="R7" s="8">
        <f>S7-O7-P7-Q7</f>
        <v>51</v>
      </c>
      <c r="S7" s="14">
        <f>SUM(C7:E7,G7:I7,K7:M7,O7:Q7)</f>
        <v>70</v>
      </c>
    </row>
    <row r="8" spans="1:19">
      <c r="A8" s="2">
        <v>4</v>
      </c>
      <c r="B8" s="2">
        <v>30</v>
      </c>
      <c r="C8" s="11">
        <v>27</v>
      </c>
      <c r="D8" s="9">
        <v>5</v>
      </c>
      <c r="E8" s="12">
        <v>2</v>
      </c>
      <c r="F8" s="8">
        <f t="shared" ref="F8:F10" si="0">S8-C8-D8-E8</f>
        <v>76</v>
      </c>
      <c r="G8" s="11">
        <v>20</v>
      </c>
      <c r="H8" s="9">
        <v>5</v>
      </c>
      <c r="I8" s="12">
        <v>2</v>
      </c>
      <c r="J8" s="8">
        <f t="shared" ref="J8:J10" si="1">S8-G8-H8-I8</f>
        <v>83</v>
      </c>
      <c r="K8" s="11">
        <v>23</v>
      </c>
      <c r="L8" s="9">
        <v>5</v>
      </c>
      <c r="M8" s="12">
        <v>2</v>
      </c>
      <c r="N8" s="8">
        <f t="shared" ref="N8:N10" si="2">S8-K8-L8-M8</f>
        <v>80</v>
      </c>
      <c r="O8" s="11">
        <v>15</v>
      </c>
      <c r="P8" s="9">
        <v>4</v>
      </c>
      <c r="Q8" s="12">
        <v>0</v>
      </c>
      <c r="R8" s="8">
        <f t="shared" ref="R8:R10" si="3">S8-O8-P8-Q8</f>
        <v>91</v>
      </c>
      <c r="S8" s="14">
        <f t="shared" ref="S8:S10" si="4">SUM(C8:E8,G8:I8,K8:M8,O8:Q8)</f>
        <v>110</v>
      </c>
    </row>
    <row r="9" spans="1:19">
      <c r="A9" s="2">
        <v>16</v>
      </c>
      <c r="B9" s="2">
        <v>36</v>
      </c>
      <c r="C9" s="11">
        <v>42</v>
      </c>
      <c r="D9" s="9">
        <v>5</v>
      </c>
      <c r="E9" s="12">
        <v>2</v>
      </c>
      <c r="F9" s="8">
        <f t="shared" si="0"/>
        <v>81</v>
      </c>
      <c r="G9" s="11">
        <v>24</v>
      </c>
      <c r="H9" s="9">
        <v>5</v>
      </c>
      <c r="I9" s="12">
        <v>2</v>
      </c>
      <c r="J9" s="8">
        <f t="shared" si="1"/>
        <v>99</v>
      </c>
      <c r="K9" s="11">
        <v>24</v>
      </c>
      <c r="L9" s="9">
        <v>5</v>
      </c>
      <c r="M9" s="12">
        <v>2</v>
      </c>
      <c r="N9" s="8">
        <f t="shared" si="2"/>
        <v>99</v>
      </c>
      <c r="O9" s="11">
        <v>15</v>
      </c>
      <c r="P9" s="9">
        <v>4</v>
      </c>
      <c r="Q9" s="12">
        <v>0</v>
      </c>
      <c r="R9" s="8">
        <f t="shared" si="3"/>
        <v>111</v>
      </c>
      <c r="S9" s="14">
        <f t="shared" si="4"/>
        <v>130</v>
      </c>
    </row>
    <row r="10" spans="1:19">
      <c r="A10" s="2">
        <v>24</v>
      </c>
      <c r="B10" s="2">
        <v>40</v>
      </c>
      <c r="C10" s="11">
        <v>48</v>
      </c>
      <c r="D10" s="9">
        <v>5</v>
      </c>
      <c r="E10" s="12">
        <v>2</v>
      </c>
      <c r="F10" s="8">
        <f t="shared" si="0"/>
        <v>95</v>
      </c>
      <c r="G10" s="11">
        <v>31</v>
      </c>
      <c r="H10" s="9">
        <v>5</v>
      </c>
      <c r="I10" s="12">
        <v>2</v>
      </c>
      <c r="J10" s="8">
        <f t="shared" si="1"/>
        <v>112</v>
      </c>
      <c r="K10" s="11">
        <v>31</v>
      </c>
      <c r="L10" s="9">
        <v>5</v>
      </c>
      <c r="M10" s="12">
        <v>2</v>
      </c>
      <c r="N10" s="8">
        <f t="shared" si="2"/>
        <v>112</v>
      </c>
      <c r="O10" s="11">
        <v>15</v>
      </c>
      <c r="P10" s="9">
        <v>4</v>
      </c>
      <c r="Q10" s="12">
        <v>0</v>
      </c>
      <c r="R10" s="8">
        <f t="shared" si="3"/>
        <v>131</v>
      </c>
      <c r="S10" s="14">
        <f t="shared" si="4"/>
        <v>150</v>
      </c>
    </row>
    <row r="11" spans="1:19">
      <c r="A11" s="23" t="s">
        <v>14</v>
      </c>
      <c r="B11" s="23"/>
      <c r="C11" s="23"/>
      <c r="D11" s="23"/>
      <c r="E11" s="23"/>
      <c r="F11" s="23"/>
      <c r="G11" s="23"/>
      <c r="H11" s="23"/>
      <c r="I11" s="23"/>
      <c r="J11" s="16"/>
      <c r="K11" s="16"/>
      <c r="L11" s="16"/>
      <c r="M11" s="16"/>
      <c r="N11" s="16"/>
      <c r="O11" s="16"/>
      <c r="P11" s="16"/>
      <c r="Q11" s="16"/>
    </row>
    <row r="12" spans="1:19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9">
      <c r="A13" s="24" t="s">
        <v>15</v>
      </c>
      <c r="B13" s="24"/>
      <c r="C13" s="24"/>
      <c r="D13" s="24"/>
      <c r="E13" s="24"/>
      <c r="F13" s="24"/>
      <c r="G13" s="24"/>
      <c r="H13" s="24"/>
    </row>
    <row r="14" spans="1:19">
      <c r="A14" s="21" t="s">
        <v>16</v>
      </c>
      <c r="B14" s="25" t="s">
        <v>17</v>
      </c>
      <c r="C14" s="26"/>
      <c r="D14" s="26"/>
      <c r="E14" s="26"/>
      <c r="F14" s="26"/>
      <c r="G14" s="26"/>
      <c r="H14" s="27"/>
    </row>
    <row r="15" spans="1:19">
      <c r="A15" s="19" t="s">
        <v>18</v>
      </c>
      <c r="B15" s="22" t="s">
        <v>19</v>
      </c>
      <c r="C15" s="22"/>
      <c r="D15" s="22"/>
      <c r="E15" s="22"/>
      <c r="F15" s="22"/>
      <c r="G15" s="22"/>
      <c r="H15" s="22"/>
    </row>
    <row r="16" spans="1:19">
      <c r="A16" s="19" t="s">
        <v>4</v>
      </c>
      <c r="B16" s="22" t="s">
        <v>20</v>
      </c>
      <c r="C16" s="22"/>
      <c r="D16" s="22"/>
      <c r="E16" s="22"/>
      <c r="F16" s="22"/>
      <c r="G16" s="22"/>
      <c r="H16" s="22"/>
    </row>
    <row r="17" spans="1:19">
      <c r="A17" s="19" t="s">
        <v>5</v>
      </c>
      <c r="B17" s="22" t="s">
        <v>21</v>
      </c>
      <c r="C17" s="22"/>
      <c r="D17" s="22"/>
      <c r="E17" s="22"/>
      <c r="F17" s="22"/>
      <c r="G17" s="22"/>
      <c r="H17" s="22"/>
    </row>
    <row r="18" spans="1:19">
      <c r="A18" s="19" t="s">
        <v>22</v>
      </c>
      <c r="B18" s="22" t="s">
        <v>23</v>
      </c>
      <c r="C18" s="22"/>
      <c r="D18" s="22"/>
      <c r="E18" s="22"/>
      <c r="F18" s="22"/>
      <c r="G18" s="22"/>
      <c r="H18" s="22"/>
    </row>
    <row r="21" spans="1:19">
      <c r="A21" s="38" t="s">
        <v>24</v>
      </c>
      <c r="B21" s="38"/>
      <c r="C21" s="38"/>
      <c r="D21" s="38"/>
      <c r="E21" s="38"/>
      <c r="F21" s="38"/>
      <c r="G21" s="39"/>
      <c r="H21" s="39"/>
      <c r="I21" s="39"/>
      <c r="J21" s="39"/>
      <c r="K21" s="39"/>
      <c r="L21" s="39"/>
      <c r="M21" s="39"/>
      <c r="N21" s="39"/>
      <c r="O21" s="38"/>
      <c r="P21" s="38"/>
      <c r="Q21" s="38"/>
      <c r="R21" s="38"/>
    </row>
    <row r="22" spans="1:19">
      <c r="A22" s="1" t="s">
        <v>2</v>
      </c>
      <c r="B22" s="15"/>
      <c r="C22" s="28" t="s">
        <v>3</v>
      </c>
      <c r="D22" s="29"/>
      <c r="E22" s="29"/>
      <c r="F22" s="29"/>
      <c r="G22" s="30" t="s">
        <v>4</v>
      </c>
      <c r="H22" s="30"/>
      <c r="I22" s="30"/>
      <c r="J22" s="31"/>
      <c r="K22" s="32" t="s">
        <v>5</v>
      </c>
      <c r="L22" s="32"/>
      <c r="M22" s="32"/>
      <c r="N22" s="32"/>
      <c r="O22" s="33" t="s">
        <v>6</v>
      </c>
      <c r="P22" s="33"/>
      <c r="Q22" s="33"/>
      <c r="R22" s="34"/>
    </row>
    <row r="23" spans="1:19" ht="27">
      <c r="A23" s="3"/>
      <c r="B23" s="3"/>
      <c r="C23" s="5" t="s">
        <v>7</v>
      </c>
      <c r="D23" s="5" t="s">
        <v>8</v>
      </c>
      <c r="E23" s="5" t="s">
        <v>9</v>
      </c>
      <c r="F23" s="5" t="s">
        <v>10</v>
      </c>
      <c r="G23" s="17" t="s">
        <v>7</v>
      </c>
      <c r="H23" s="17" t="s">
        <v>8</v>
      </c>
      <c r="I23" s="17" t="s">
        <v>9</v>
      </c>
      <c r="J23" s="17" t="s">
        <v>10</v>
      </c>
      <c r="K23" s="18" t="s">
        <v>7</v>
      </c>
      <c r="L23" s="18" t="s">
        <v>8</v>
      </c>
      <c r="M23" s="18" t="s">
        <v>9</v>
      </c>
      <c r="N23" s="18" t="s">
        <v>10</v>
      </c>
      <c r="O23" s="4" t="s">
        <v>7</v>
      </c>
      <c r="P23" s="4" t="s">
        <v>8</v>
      </c>
      <c r="Q23" s="4" t="s">
        <v>9</v>
      </c>
      <c r="R23" s="4" t="s">
        <v>10</v>
      </c>
      <c r="S23" s="20" t="s">
        <v>11</v>
      </c>
    </row>
    <row r="24" spans="1:19">
      <c r="A24" s="2" t="s">
        <v>12</v>
      </c>
      <c r="B24" s="6" t="s">
        <v>13</v>
      </c>
      <c r="C24" s="35"/>
      <c r="D24" s="36"/>
      <c r="E24" s="36"/>
      <c r="F24" s="37"/>
      <c r="G24" s="35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7"/>
      <c r="S24" s="13"/>
    </row>
    <row r="25" spans="1:19">
      <c r="A25" s="2">
        <v>2</v>
      </c>
      <c r="B25" s="2">
        <v>0</v>
      </c>
      <c r="C25" s="10">
        <v>23</v>
      </c>
      <c r="D25" s="9">
        <v>3</v>
      </c>
      <c r="E25" s="12">
        <v>2</v>
      </c>
      <c r="F25" s="8">
        <f>S25-C25-D25-E25</f>
        <v>42</v>
      </c>
      <c r="G25" s="11">
        <v>10</v>
      </c>
      <c r="H25" s="9">
        <v>3</v>
      </c>
      <c r="I25" s="12">
        <v>2</v>
      </c>
      <c r="J25" s="8">
        <f>S25-G25-H25-I25</f>
        <v>55</v>
      </c>
      <c r="K25" s="11">
        <v>9</v>
      </c>
      <c r="L25" s="9">
        <v>3</v>
      </c>
      <c r="M25" s="12">
        <v>2</v>
      </c>
      <c r="N25" s="8">
        <f>S25-K25-L25-M25</f>
        <v>56</v>
      </c>
      <c r="O25" s="11">
        <v>8</v>
      </c>
      <c r="P25" s="9">
        <v>3</v>
      </c>
      <c r="Q25" s="12">
        <v>2</v>
      </c>
      <c r="R25" s="8">
        <f>S25-O25-P25-Q25</f>
        <v>57</v>
      </c>
      <c r="S25" s="14">
        <f>SUM(C25:E25,G25:I25,K25:M25,O25:Q25)</f>
        <v>70</v>
      </c>
    </row>
    <row r="26" spans="1:19">
      <c r="A26" s="2">
        <v>4</v>
      </c>
      <c r="B26" s="2">
        <v>20</v>
      </c>
      <c r="C26" s="11">
        <v>36</v>
      </c>
      <c r="D26" s="9">
        <v>3</v>
      </c>
      <c r="E26" s="12">
        <v>2</v>
      </c>
      <c r="F26" s="8">
        <f t="shared" ref="F26:F28" si="5">S26-C26-D26-E26</f>
        <v>69</v>
      </c>
      <c r="G26" s="11">
        <v>22</v>
      </c>
      <c r="H26" s="9">
        <v>3</v>
      </c>
      <c r="I26" s="12">
        <v>2</v>
      </c>
      <c r="J26" s="8">
        <f t="shared" ref="J26:J28" si="6">S26-G26-H26-I26</f>
        <v>83</v>
      </c>
      <c r="K26" s="11">
        <v>16</v>
      </c>
      <c r="L26" s="9">
        <v>3</v>
      </c>
      <c r="M26" s="12">
        <v>2</v>
      </c>
      <c r="N26" s="8">
        <f t="shared" ref="N26:N28" si="7">S26-K26-L26-M26</f>
        <v>89</v>
      </c>
      <c r="O26" s="11">
        <v>16</v>
      </c>
      <c r="P26" s="9">
        <v>3</v>
      </c>
      <c r="Q26" s="12">
        <v>2</v>
      </c>
      <c r="R26" s="8">
        <f t="shared" ref="R26:R28" si="8">S26-O26-P26-Q26</f>
        <v>89</v>
      </c>
      <c r="S26" s="14">
        <f t="shared" ref="S26:S28" si="9">SUM(C26:E26,G26:I26,K26:M26,O26:Q26)</f>
        <v>110</v>
      </c>
    </row>
    <row r="27" spans="1:19">
      <c r="A27" s="2">
        <v>16</v>
      </c>
      <c r="B27" s="2">
        <v>78</v>
      </c>
      <c r="C27" s="11">
        <v>41</v>
      </c>
      <c r="D27" s="9">
        <v>3</v>
      </c>
      <c r="E27" s="12">
        <v>2</v>
      </c>
      <c r="F27" s="8">
        <f t="shared" si="5"/>
        <v>84</v>
      </c>
      <c r="G27" s="11">
        <v>27</v>
      </c>
      <c r="H27" s="9">
        <v>3</v>
      </c>
      <c r="I27" s="12">
        <v>2</v>
      </c>
      <c r="J27" s="8">
        <f t="shared" si="6"/>
        <v>98</v>
      </c>
      <c r="K27" s="11">
        <v>21</v>
      </c>
      <c r="L27" s="9">
        <v>3</v>
      </c>
      <c r="M27" s="12">
        <v>2</v>
      </c>
      <c r="N27" s="8">
        <f t="shared" si="7"/>
        <v>104</v>
      </c>
      <c r="O27" s="11">
        <v>21</v>
      </c>
      <c r="P27" s="9">
        <v>3</v>
      </c>
      <c r="Q27" s="12">
        <v>2</v>
      </c>
      <c r="R27" s="8">
        <f t="shared" si="8"/>
        <v>104</v>
      </c>
      <c r="S27" s="14">
        <f t="shared" si="9"/>
        <v>130</v>
      </c>
    </row>
    <row r="28" spans="1:19">
      <c r="A28" s="2">
        <v>24</v>
      </c>
      <c r="B28" s="2">
        <v>90</v>
      </c>
      <c r="C28" s="11">
        <v>46</v>
      </c>
      <c r="D28" s="9">
        <v>3</v>
      </c>
      <c r="E28" s="12">
        <v>2</v>
      </c>
      <c r="F28" s="8">
        <f t="shared" si="5"/>
        <v>99</v>
      </c>
      <c r="G28" s="11">
        <v>32</v>
      </c>
      <c r="H28" s="9">
        <v>3</v>
      </c>
      <c r="I28" s="12">
        <v>2</v>
      </c>
      <c r="J28" s="8">
        <f t="shared" si="6"/>
        <v>113</v>
      </c>
      <c r="K28" s="11">
        <v>26</v>
      </c>
      <c r="L28" s="9">
        <v>3</v>
      </c>
      <c r="M28" s="12">
        <v>2</v>
      </c>
      <c r="N28" s="8">
        <f t="shared" si="7"/>
        <v>119</v>
      </c>
      <c r="O28" s="11">
        <v>26</v>
      </c>
      <c r="P28" s="9">
        <v>3</v>
      </c>
      <c r="Q28" s="12">
        <v>2</v>
      </c>
      <c r="R28" s="8">
        <f t="shared" si="8"/>
        <v>119</v>
      </c>
      <c r="S28" s="14">
        <f t="shared" si="9"/>
        <v>150</v>
      </c>
    </row>
    <row r="29" spans="1:19">
      <c r="A29" s="23" t="s">
        <v>14</v>
      </c>
      <c r="B29" s="23"/>
      <c r="C29" s="23"/>
      <c r="D29" s="23"/>
      <c r="E29" s="23"/>
      <c r="F29" s="23"/>
      <c r="G29" s="23"/>
      <c r="H29" s="23"/>
      <c r="I29" s="23"/>
      <c r="J29" s="16"/>
      <c r="K29" s="16"/>
      <c r="L29" s="16"/>
      <c r="M29" s="16"/>
      <c r="N29" s="16"/>
      <c r="O29" s="16"/>
      <c r="P29" s="16"/>
      <c r="Q29" s="16"/>
    </row>
    <row r="30" spans="1:19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9">
      <c r="A31" s="24" t="s">
        <v>15</v>
      </c>
      <c r="B31" s="24"/>
      <c r="C31" s="24"/>
      <c r="D31" s="24"/>
      <c r="E31" s="24"/>
      <c r="F31" s="24"/>
      <c r="G31" s="24"/>
      <c r="H31" s="24"/>
    </row>
    <row r="32" spans="1:19">
      <c r="A32" s="21" t="s">
        <v>16</v>
      </c>
      <c r="B32" s="25" t="s">
        <v>17</v>
      </c>
      <c r="C32" s="26"/>
      <c r="D32" s="26"/>
      <c r="E32" s="26"/>
      <c r="F32" s="26"/>
      <c r="G32" s="26"/>
      <c r="H32" s="27"/>
    </row>
    <row r="33" spans="1:19">
      <c r="A33" s="19" t="s">
        <v>18</v>
      </c>
      <c r="B33" s="22" t="s">
        <v>25</v>
      </c>
      <c r="C33" s="22"/>
      <c r="D33" s="22"/>
      <c r="E33" s="22"/>
      <c r="F33" s="22"/>
      <c r="G33" s="22"/>
      <c r="H33" s="22"/>
    </row>
    <row r="34" spans="1:19">
      <c r="A34" s="19" t="s">
        <v>4</v>
      </c>
      <c r="B34" s="22" t="s">
        <v>26</v>
      </c>
      <c r="C34" s="22"/>
      <c r="D34" s="22"/>
      <c r="E34" s="22"/>
      <c r="F34" s="22"/>
      <c r="G34" s="22"/>
      <c r="H34" s="22"/>
    </row>
    <row r="35" spans="1:19">
      <c r="A35" s="19" t="s">
        <v>5</v>
      </c>
      <c r="B35" s="22" t="s">
        <v>27</v>
      </c>
      <c r="C35" s="22"/>
      <c r="D35" s="22"/>
      <c r="E35" s="22"/>
      <c r="F35" s="22"/>
      <c r="G35" s="22"/>
      <c r="H35" s="22"/>
    </row>
    <row r="36" spans="1:19">
      <c r="A36" s="19" t="s">
        <v>22</v>
      </c>
      <c r="B36" s="22" t="s">
        <v>28</v>
      </c>
      <c r="C36" s="22"/>
      <c r="D36" s="22"/>
      <c r="E36" s="22"/>
      <c r="F36" s="22"/>
      <c r="G36" s="22"/>
      <c r="H36" s="22"/>
    </row>
    <row r="37" spans="1:19">
      <c r="A37" s="16"/>
      <c r="B37" s="43"/>
      <c r="C37" s="43"/>
      <c r="D37" s="43"/>
      <c r="E37" s="43"/>
      <c r="F37" s="43"/>
      <c r="G37" s="43"/>
      <c r="H37" s="43"/>
    </row>
    <row r="38" spans="1:19">
      <c r="A38" s="16"/>
      <c r="B38" s="43"/>
      <c r="C38" s="43"/>
      <c r="D38" s="43"/>
      <c r="E38" s="43"/>
      <c r="F38" s="43"/>
      <c r="G38" s="43"/>
      <c r="H38" s="43"/>
    </row>
    <row r="39" spans="1:19">
      <c r="A39" s="38" t="s">
        <v>29</v>
      </c>
      <c r="B39" s="38"/>
      <c r="C39" s="38"/>
      <c r="D39" s="38"/>
      <c r="E39" s="38"/>
      <c r="F39" s="38"/>
      <c r="G39" s="39"/>
      <c r="H39" s="39"/>
      <c r="I39" s="39"/>
      <c r="J39" s="39"/>
      <c r="K39" s="39"/>
      <c r="L39" s="39"/>
      <c r="M39" s="39"/>
      <c r="N39" s="39"/>
      <c r="O39" s="38"/>
      <c r="P39" s="38"/>
      <c r="Q39" s="38"/>
      <c r="R39" s="38"/>
    </row>
    <row r="40" spans="1:19">
      <c r="A40" s="1" t="s">
        <v>2</v>
      </c>
      <c r="B40" s="15"/>
      <c r="C40" s="28" t="s">
        <v>3</v>
      </c>
      <c r="D40" s="29"/>
      <c r="E40" s="29"/>
      <c r="F40" s="29"/>
      <c r="G40" s="30" t="s">
        <v>4</v>
      </c>
      <c r="H40" s="30"/>
      <c r="I40" s="30"/>
      <c r="J40" s="31"/>
      <c r="K40" s="32" t="s">
        <v>5</v>
      </c>
      <c r="L40" s="32"/>
      <c r="M40" s="32"/>
      <c r="N40" s="32"/>
      <c r="O40" s="33" t="s">
        <v>6</v>
      </c>
      <c r="P40" s="33"/>
      <c r="Q40" s="33"/>
      <c r="R40" s="34"/>
    </row>
    <row r="41" spans="1:19" ht="27">
      <c r="A41" s="3"/>
      <c r="B41" s="3"/>
      <c r="C41" s="5" t="s">
        <v>7</v>
      </c>
      <c r="D41" s="5" t="s">
        <v>8</v>
      </c>
      <c r="E41" s="5" t="s">
        <v>9</v>
      </c>
      <c r="F41" s="5" t="s">
        <v>10</v>
      </c>
      <c r="G41" s="17" t="s">
        <v>7</v>
      </c>
      <c r="H41" s="17" t="s">
        <v>8</v>
      </c>
      <c r="I41" s="17" t="s">
        <v>9</v>
      </c>
      <c r="J41" s="17" t="s">
        <v>10</v>
      </c>
      <c r="K41" s="18" t="s">
        <v>7</v>
      </c>
      <c r="L41" s="18" t="s">
        <v>8</v>
      </c>
      <c r="M41" s="18" t="s">
        <v>9</v>
      </c>
      <c r="N41" s="18" t="s">
        <v>10</v>
      </c>
      <c r="O41" s="4" t="s">
        <v>7</v>
      </c>
      <c r="P41" s="4" t="s">
        <v>8</v>
      </c>
      <c r="Q41" s="4" t="s">
        <v>9</v>
      </c>
      <c r="R41" s="4" t="s">
        <v>10</v>
      </c>
      <c r="S41" s="20" t="s">
        <v>11</v>
      </c>
    </row>
    <row r="42" spans="1:19">
      <c r="A42" s="2" t="s">
        <v>12</v>
      </c>
      <c r="B42" s="6" t="s">
        <v>13</v>
      </c>
      <c r="C42" s="35"/>
      <c r="D42" s="36"/>
      <c r="E42" s="36"/>
      <c r="F42" s="37"/>
      <c r="G42" s="35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13"/>
    </row>
    <row r="43" spans="1:19">
      <c r="A43" s="2">
        <v>2</v>
      </c>
      <c r="B43" s="2">
        <v>0</v>
      </c>
      <c r="C43" s="10">
        <v>14</v>
      </c>
      <c r="D43" s="9">
        <v>5</v>
      </c>
      <c r="E43" s="12">
        <v>17</v>
      </c>
      <c r="F43" s="8">
        <f>S43-C43-D43-E43</f>
        <v>34</v>
      </c>
      <c r="G43" s="11">
        <v>10</v>
      </c>
      <c r="H43" s="9">
        <v>5</v>
      </c>
      <c r="I43" s="12">
        <v>2</v>
      </c>
      <c r="J43" s="8">
        <f>S43-G43-H43-I43</f>
        <v>53</v>
      </c>
      <c r="K43" s="11">
        <v>10</v>
      </c>
      <c r="L43" s="9">
        <v>5</v>
      </c>
      <c r="M43" s="12">
        <v>2</v>
      </c>
      <c r="N43" s="8">
        <f>S43-K43-L43-M43</f>
        <v>53</v>
      </c>
      <c r="O43" s="11"/>
      <c r="P43" s="9"/>
      <c r="Q43" s="12"/>
      <c r="R43" s="8"/>
      <c r="S43" s="14">
        <f>SUM(C43:E43,G43:I43,K43:M43,O43:Q43)</f>
        <v>70</v>
      </c>
    </row>
    <row r="44" spans="1:19">
      <c r="A44" s="2">
        <v>4</v>
      </c>
      <c r="B44" s="2">
        <v>80</v>
      </c>
      <c r="C44" s="11">
        <v>23</v>
      </c>
      <c r="D44" s="9">
        <v>5</v>
      </c>
      <c r="E44" s="12">
        <v>17</v>
      </c>
      <c r="F44" s="8">
        <f t="shared" ref="F44:F46" si="10">S44-C44-D44-E44</f>
        <v>65</v>
      </c>
      <c r="G44" s="11">
        <v>26</v>
      </c>
      <c r="H44" s="9">
        <v>5</v>
      </c>
      <c r="I44" s="12">
        <v>2</v>
      </c>
      <c r="J44" s="8">
        <f t="shared" ref="J44:J46" si="11">S44-G44-H44-I44</f>
        <v>77</v>
      </c>
      <c r="K44" s="11">
        <v>25</v>
      </c>
      <c r="L44" s="9">
        <v>5</v>
      </c>
      <c r="M44" s="12">
        <v>2</v>
      </c>
      <c r="N44" s="8">
        <f t="shared" ref="N44:N46" si="12">S44-K44-L44-M44</f>
        <v>78</v>
      </c>
      <c r="O44" s="11"/>
      <c r="P44" s="9"/>
      <c r="Q44" s="12"/>
      <c r="R44" s="8"/>
      <c r="S44" s="14">
        <f t="shared" ref="S44:S46" si="13">SUM(C44:E44,G44:I44,K44:M44,O44:Q44)</f>
        <v>110</v>
      </c>
    </row>
    <row r="45" spans="1:19">
      <c r="A45" s="2">
        <v>16</v>
      </c>
      <c r="B45" s="2">
        <v>89</v>
      </c>
      <c r="C45" s="11">
        <v>30</v>
      </c>
      <c r="D45" s="9">
        <v>5</v>
      </c>
      <c r="E45" s="12">
        <v>17</v>
      </c>
      <c r="F45" s="8">
        <f t="shared" si="10"/>
        <v>78</v>
      </c>
      <c r="G45" s="11">
        <v>33</v>
      </c>
      <c r="H45" s="9">
        <v>5</v>
      </c>
      <c r="I45" s="12">
        <v>2</v>
      </c>
      <c r="J45" s="8">
        <f t="shared" si="11"/>
        <v>90</v>
      </c>
      <c r="K45" s="11">
        <v>31</v>
      </c>
      <c r="L45" s="9">
        <v>5</v>
      </c>
      <c r="M45" s="12">
        <v>2</v>
      </c>
      <c r="N45" s="8">
        <f t="shared" si="12"/>
        <v>92</v>
      </c>
      <c r="O45" s="11"/>
      <c r="P45" s="9"/>
      <c r="Q45" s="12"/>
      <c r="R45" s="8"/>
      <c r="S45" s="14">
        <f t="shared" si="13"/>
        <v>130</v>
      </c>
    </row>
    <row r="46" spans="1:19">
      <c r="A46" s="2">
        <v>24</v>
      </c>
      <c r="B46" s="2">
        <v>103</v>
      </c>
      <c r="C46" s="11">
        <v>38</v>
      </c>
      <c r="D46" s="9">
        <v>5</v>
      </c>
      <c r="E46" s="12">
        <v>17</v>
      </c>
      <c r="F46" s="8">
        <f t="shared" si="10"/>
        <v>90</v>
      </c>
      <c r="G46" s="11">
        <v>37</v>
      </c>
      <c r="H46" s="9">
        <v>5</v>
      </c>
      <c r="I46" s="12">
        <v>2</v>
      </c>
      <c r="J46" s="8">
        <f t="shared" si="11"/>
        <v>106</v>
      </c>
      <c r="K46" s="11">
        <v>39</v>
      </c>
      <c r="L46" s="9">
        <v>5</v>
      </c>
      <c r="M46" s="12">
        <v>2</v>
      </c>
      <c r="N46" s="8">
        <f t="shared" si="12"/>
        <v>104</v>
      </c>
      <c r="O46" s="11"/>
      <c r="P46" s="9"/>
      <c r="Q46" s="12"/>
      <c r="R46" s="8"/>
      <c r="S46" s="14">
        <f t="shared" si="13"/>
        <v>150</v>
      </c>
    </row>
    <row r="47" spans="1:19">
      <c r="A47" s="23" t="s">
        <v>14</v>
      </c>
      <c r="B47" s="23"/>
      <c r="C47" s="23"/>
      <c r="D47" s="23"/>
      <c r="E47" s="23"/>
      <c r="F47" s="23"/>
      <c r="G47" s="23"/>
      <c r="H47" s="23"/>
      <c r="I47" s="23"/>
      <c r="J47" s="16"/>
      <c r="K47" s="16"/>
      <c r="L47" s="16"/>
      <c r="M47" s="16"/>
      <c r="N47" s="16"/>
      <c r="O47" s="16"/>
      <c r="P47" s="16"/>
      <c r="Q47" s="16"/>
    </row>
    <row r="48" spans="1:19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19">
      <c r="A49" s="24" t="s">
        <v>15</v>
      </c>
      <c r="B49" s="24"/>
      <c r="C49" s="24"/>
      <c r="D49" s="24"/>
      <c r="E49" s="24"/>
      <c r="F49" s="24"/>
      <c r="G49" s="24"/>
      <c r="H49" s="24"/>
    </row>
    <row r="50" spans="1:19">
      <c r="A50" s="21" t="s">
        <v>16</v>
      </c>
      <c r="B50" s="25" t="s">
        <v>17</v>
      </c>
      <c r="C50" s="26"/>
      <c r="D50" s="26"/>
      <c r="E50" s="26"/>
      <c r="F50" s="26"/>
      <c r="G50" s="26"/>
      <c r="H50" s="27"/>
    </row>
    <row r="51" spans="1:19">
      <c r="A51" s="19" t="s">
        <v>18</v>
      </c>
      <c r="B51" s="44" t="s">
        <v>30</v>
      </c>
      <c r="C51" s="45"/>
      <c r="D51" s="45"/>
      <c r="E51" s="45"/>
      <c r="F51" s="45"/>
      <c r="G51" s="45"/>
      <c r="H51" s="46"/>
    </row>
    <row r="52" spans="1:19">
      <c r="A52" s="19" t="s">
        <v>4</v>
      </c>
      <c r="B52" s="22" t="s">
        <v>27</v>
      </c>
      <c r="C52" s="22"/>
      <c r="D52" s="22"/>
      <c r="E52" s="22"/>
      <c r="F52" s="22"/>
      <c r="G52" s="22"/>
      <c r="H52" s="22"/>
    </row>
    <row r="53" spans="1:19">
      <c r="A53" s="19" t="s">
        <v>5</v>
      </c>
      <c r="B53" s="22" t="s">
        <v>28</v>
      </c>
      <c r="C53" s="22"/>
      <c r="D53" s="22"/>
      <c r="E53" s="22"/>
      <c r="F53" s="22"/>
      <c r="G53" s="22"/>
      <c r="H53" s="22"/>
    </row>
    <row r="54" spans="1:19">
      <c r="A54" s="16"/>
      <c r="B54" s="43"/>
      <c r="C54" s="43"/>
      <c r="D54" s="43"/>
      <c r="E54" s="43"/>
      <c r="F54" s="43"/>
      <c r="G54" s="43"/>
      <c r="H54" s="43"/>
    </row>
    <row r="55" spans="1:19">
      <c r="A55" s="16"/>
      <c r="B55" s="43"/>
      <c r="C55" s="43"/>
      <c r="D55" s="43"/>
      <c r="E55" s="43"/>
      <c r="F55" s="43"/>
      <c r="G55" s="43"/>
      <c r="H55" s="43"/>
    </row>
    <row r="56" spans="1:19">
      <c r="A56" s="38" t="s">
        <v>31</v>
      </c>
      <c r="B56" s="38"/>
      <c r="C56" s="38"/>
      <c r="D56" s="38"/>
      <c r="E56" s="38"/>
      <c r="F56" s="38"/>
      <c r="G56" s="39"/>
      <c r="H56" s="39"/>
      <c r="I56" s="39"/>
      <c r="J56" s="39"/>
      <c r="K56" s="39"/>
      <c r="L56" s="39"/>
      <c r="M56" s="39"/>
      <c r="N56" s="39"/>
      <c r="O56" s="38"/>
      <c r="P56" s="38"/>
      <c r="Q56" s="38"/>
      <c r="R56" s="38"/>
    </row>
    <row r="57" spans="1:19">
      <c r="A57" s="1" t="s">
        <v>2</v>
      </c>
      <c r="B57" s="15"/>
      <c r="C57" s="28" t="s">
        <v>3</v>
      </c>
      <c r="D57" s="29"/>
      <c r="E57" s="29"/>
      <c r="F57" s="29"/>
      <c r="G57" s="30" t="s">
        <v>4</v>
      </c>
      <c r="H57" s="30"/>
      <c r="I57" s="30"/>
      <c r="J57" s="31"/>
      <c r="K57" s="32" t="s">
        <v>5</v>
      </c>
      <c r="L57" s="32"/>
      <c r="M57" s="32"/>
      <c r="N57" s="32"/>
      <c r="O57" s="33" t="s">
        <v>6</v>
      </c>
      <c r="P57" s="33"/>
      <c r="Q57" s="33"/>
      <c r="R57" s="34"/>
    </row>
    <row r="58" spans="1:19" ht="27">
      <c r="A58" s="3"/>
      <c r="B58" s="3"/>
      <c r="C58" s="5" t="s">
        <v>7</v>
      </c>
      <c r="D58" s="5" t="s">
        <v>8</v>
      </c>
      <c r="E58" s="5" t="s">
        <v>9</v>
      </c>
      <c r="F58" s="5" t="s">
        <v>10</v>
      </c>
      <c r="G58" s="17" t="s">
        <v>7</v>
      </c>
      <c r="H58" s="17" t="s">
        <v>8</v>
      </c>
      <c r="I58" s="17" t="s">
        <v>9</v>
      </c>
      <c r="J58" s="17" t="s">
        <v>10</v>
      </c>
      <c r="K58" s="18" t="s">
        <v>7</v>
      </c>
      <c r="L58" s="18" t="s">
        <v>8</v>
      </c>
      <c r="M58" s="18" t="s">
        <v>9</v>
      </c>
      <c r="N58" s="18" t="s">
        <v>10</v>
      </c>
      <c r="O58" s="4" t="s">
        <v>7</v>
      </c>
      <c r="P58" s="4" t="s">
        <v>8</v>
      </c>
      <c r="Q58" s="4" t="s">
        <v>9</v>
      </c>
      <c r="R58" s="4" t="s">
        <v>10</v>
      </c>
      <c r="S58" s="20" t="s">
        <v>11</v>
      </c>
    </row>
    <row r="59" spans="1:19">
      <c r="A59" s="2" t="s">
        <v>12</v>
      </c>
      <c r="B59" s="6" t="s">
        <v>13</v>
      </c>
      <c r="C59" s="35"/>
      <c r="D59" s="36"/>
      <c r="E59" s="36"/>
      <c r="F59" s="37"/>
      <c r="G59" s="35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7"/>
      <c r="S59" s="13"/>
    </row>
    <row r="60" spans="1:19">
      <c r="A60" s="2">
        <v>2</v>
      </c>
      <c r="B60" s="2">
        <v>61</v>
      </c>
      <c r="C60" s="10">
        <v>10</v>
      </c>
      <c r="D60" s="9">
        <v>3</v>
      </c>
      <c r="E60" s="12">
        <v>2</v>
      </c>
      <c r="F60" s="8">
        <f>S60-C60-D60-E60</f>
        <v>55</v>
      </c>
      <c r="G60" s="11">
        <v>16</v>
      </c>
      <c r="H60" s="9">
        <v>3</v>
      </c>
      <c r="I60" s="12">
        <v>2</v>
      </c>
      <c r="J60" s="8">
        <f>S60-G60-H60-I60</f>
        <v>49</v>
      </c>
      <c r="K60" s="11">
        <v>10</v>
      </c>
      <c r="L60" s="9">
        <v>3</v>
      </c>
      <c r="M60" s="12">
        <v>2</v>
      </c>
      <c r="N60" s="8">
        <f>S60-K60-L60-M60</f>
        <v>55</v>
      </c>
      <c r="O60" s="11">
        <v>15</v>
      </c>
      <c r="P60" s="9">
        <v>4</v>
      </c>
      <c r="Q60" s="12">
        <v>0</v>
      </c>
      <c r="R60" s="8">
        <f>S60-O60-P60-Q60</f>
        <v>51</v>
      </c>
      <c r="S60" s="14">
        <f>SUM(C60:E60,G60:I60,K60:M60,O60:Q60)</f>
        <v>70</v>
      </c>
    </row>
    <row r="61" spans="1:19">
      <c r="A61" s="2">
        <v>4</v>
      </c>
      <c r="B61" s="2">
        <v>75</v>
      </c>
      <c r="C61" s="11">
        <v>15</v>
      </c>
      <c r="D61" s="9">
        <v>3</v>
      </c>
      <c r="E61" s="12">
        <v>2</v>
      </c>
      <c r="F61" s="8">
        <f t="shared" ref="F61:F63" si="14">S61-C61-D61-E61</f>
        <v>90</v>
      </c>
      <c r="G61" s="11">
        <v>31</v>
      </c>
      <c r="H61" s="9">
        <v>3</v>
      </c>
      <c r="I61" s="12">
        <v>2</v>
      </c>
      <c r="J61" s="8">
        <f t="shared" ref="J61:J63" si="15">S61-G61-H61-I61</f>
        <v>74</v>
      </c>
      <c r="K61" s="11">
        <v>30</v>
      </c>
      <c r="L61" s="9">
        <v>3</v>
      </c>
      <c r="M61" s="12">
        <v>2</v>
      </c>
      <c r="N61" s="8">
        <f t="shared" ref="N61:N63" si="16">S61-K61-L61-M61</f>
        <v>75</v>
      </c>
      <c r="O61" s="11">
        <v>15</v>
      </c>
      <c r="P61" s="9">
        <v>4</v>
      </c>
      <c r="Q61" s="12">
        <v>0</v>
      </c>
      <c r="R61" s="8">
        <f t="shared" ref="R61:R63" si="17">S61-O61-P61-Q61</f>
        <v>91</v>
      </c>
      <c r="S61" s="14">
        <f t="shared" ref="S61:S63" si="18">SUM(C61:E61,G61:I61,K61:M61,O61:Q61)</f>
        <v>110</v>
      </c>
    </row>
    <row r="62" spans="1:19">
      <c r="A62" s="2">
        <v>16</v>
      </c>
      <c r="B62" s="2">
        <v>91</v>
      </c>
      <c r="C62" s="11">
        <v>20</v>
      </c>
      <c r="D62" s="9">
        <v>3</v>
      </c>
      <c r="E62" s="12">
        <v>2</v>
      </c>
      <c r="F62" s="8">
        <f t="shared" si="14"/>
        <v>105</v>
      </c>
      <c r="G62" s="11">
        <v>41</v>
      </c>
      <c r="H62" s="9">
        <v>3</v>
      </c>
      <c r="I62" s="12">
        <v>2</v>
      </c>
      <c r="J62" s="8">
        <f t="shared" si="15"/>
        <v>84</v>
      </c>
      <c r="K62" s="11">
        <v>35</v>
      </c>
      <c r="L62" s="9">
        <v>3</v>
      </c>
      <c r="M62" s="12">
        <v>2</v>
      </c>
      <c r="N62" s="8">
        <f t="shared" si="16"/>
        <v>90</v>
      </c>
      <c r="O62" s="11">
        <v>15</v>
      </c>
      <c r="P62" s="9">
        <v>4</v>
      </c>
      <c r="Q62" s="12">
        <v>0</v>
      </c>
      <c r="R62" s="8">
        <f t="shared" si="17"/>
        <v>111</v>
      </c>
      <c r="S62" s="14">
        <f t="shared" si="18"/>
        <v>130</v>
      </c>
    </row>
    <row r="63" spans="1:19">
      <c r="A63" s="2">
        <v>24</v>
      </c>
      <c r="B63" s="2">
        <v>100</v>
      </c>
      <c r="C63" s="11">
        <v>25</v>
      </c>
      <c r="D63" s="9">
        <v>3</v>
      </c>
      <c r="E63" s="12">
        <v>2</v>
      </c>
      <c r="F63" s="8">
        <f t="shared" si="14"/>
        <v>120</v>
      </c>
      <c r="G63" s="11">
        <v>61</v>
      </c>
      <c r="H63" s="9">
        <v>3</v>
      </c>
      <c r="I63" s="12">
        <v>2</v>
      </c>
      <c r="J63" s="8">
        <f t="shared" si="15"/>
        <v>84</v>
      </c>
      <c r="K63" s="11">
        <v>30</v>
      </c>
      <c r="L63" s="9">
        <v>3</v>
      </c>
      <c r="M63" s="12">
        <v>2</v>
      </c>
      <c r="N63" s="8">
        <f t="shared" si="16"/>
        <v>115</v>
      </c>
      <c r="O63" s="11">
        <v>15</v>
      </c>
      <c r="P63" s="9">
        <v>4</v>
      </c>
      <c r="Q63" s="12">
        <v>0</v>
      </c>
      <c r="R63" s="8">
        <f t="shared" si="17"/>
        <v>131</v>
      </c>
      <c r="S63" s="14">
        <f t="shared" si="18"/>
        <v>150</v>
      </c>
    </row>
    <row r="64" spans="1:19">
      <c r="A64" s="23" t="s">
        <v>14</v>
      </c>
      <c r="B64" s="23"/>
      <c r="C64" s="23"/>
      <c r="D64" s="23"/>
      <c r="E64" s="23"/>
      <c r="F64" s="23"/>
      <c r="G64" s="23"/>
      <c r="H64" s="23"/>
      <c r="I64" s="23"/>
      <c r="J64" s="16"/>
      <c r="K64" s="16"/>
      <c r="L64" s="16"/>
      <c r="M64" s="16"/>
      <c r="N64" s="16"/>
      <c r="O64" s="16"/>
      <c r="P64" s="16"/>
      <c r="Q64" s="16"/>
    </row>
    <row r="65" spans="1:19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19">
      <c r="A66" s="24" t="s">
        <v>15</v>
      </c>
      <c r="B66" s="24"/>
      <c r="C66" s="24"/>
      <c r="D66" s="24"/>
      <c r="E66" s="24"/>
      <c r="F66" s="24"/>
      <c r="G66" s="24"/>
      <c r="H66" s="24"/>
    </row>
    <row r="67" spans="1:19">
      <c r="A67" s="21" t="s">
        <v>16</v>
      </c>
      <c r="B67" s="25" t="s">
        <v>17</v>
      </c>
      <c r="C67" s="26"/>
      <c r="D67" s="26"/>
      <c r="E67" s="26"/>
      <c r="F67" s="26"/>
      <c r="G67" s="26"/>
      <c r="H67" s="27"/>
    </row>
    <row r="68" spans="1:19">
      <c r="A68" s="19" t="s">
        <v>18</v>
      </c>
      <c r="B68" s="22" t="s">
        <v>32</v>
      </c>
      <c r="C68" s="22"/>
      <c r="D68" s="22"/>
      <c r="E68" s="22"/>
      <c r="F68" s="22"/>
      <c r="G68" s="22"/>
      <c r="H68" s="22"/>
    </row>
    <row r="69" spans="1:19">
      <c r="A69" s="19" t="s">
        <v>4</v>
      </c>
      <c r="B69" s="22" t="s">
        <v>19</v>
      </c>
      <c r="C69" s="22"/>
      <c r="D69" s="22"/>
      <c r="E69" s="22"/>
      <c r="F69" s="22"/>
      <c r="G69" s="22"/>
      <c r="H69" s="22"/>
    </row>
    <row r="70" spans="1:19">
      <c r="A70" s="19" t="s">
        <v>5</v>
      </c>
      <c r="B70" s="22" t="s">
        <v>33</v>
      </c>
      <c r="C70" s="22"/>
      <c r="D70" s="22"/>
      <c r="E70" s="22"/>
      <c r="F70" s="22"/>
      <c r="G70" s="22"/>
      <c r="H70" s="22"/>
    </row>
    <row r="71" spans="1:19">
      <c r="A71" s="19" t="s">
        <v>22</v>
      </c>
      <c r="B71" s="22" t="s">
        <v>23</v>
      </c>
      <c r="C71" s="22"/>
      <c r="D71" s="22"/>
      <c r="E71" s="22"/>
      <c r="F71" s="22"/>
      <c r="G71" s="22"/>
      <c r="H71" s="22"/>
    </row>
    <row r="74" spans="1:19">
      <c r="A74" s="38" t="s">
        <v>34</v>
      </c>
      <c r="B74" s="38"/>
      <c r="C74" s="38"/>
      <c r="D74" s="38"/>
      <c r="E74" s="38"/>
      <c r="F74" s="38"/>
      <c r="G74" s="39"/>
      <c r="H74" s="39"/>
      <c r="I74" s="39"/>
      <c r="J74" s="39"/>
      <c r="K74" s="39"/>
      <c r="L74" s="39"/>
      <c r="M74" s="39"/>
      <c r="N74" s="39"/>
      <c r="O74" s="38"/>
      <c r="P74" s="38"/>
      <c r="Q74" s="38"/>
      <c r="R74" s="38"/>
    </row>
    <row r="75" spans="1:19">
      <c r="A75" s="1" t="s">
        <v>2</v>
      </c>
      <c r="B75" s="15"/>
      <c r="C75" s="28" t="s">
        <v>3</v>
      </c>
      <c r="D75" s="29"/>
      <c r="E75" s="29"/>
      <c r="F75" s="29"/>
      <c r="G75" s="30" t="s">
        <v>4</v>
      </c>
      <c r="H75" s="30"/>
      <c r="I75" s="30"/>
      <c r="J75" s="31"/>
      <c r="K75" s="32" t="s">
        <v>5</v>
      </c>
      <c r="L75" s="32"/>
      <c r="M75" s="32"/>
      <c r="N75" s="32"/>
      <c r="O75" s="33" t="s">
        <v>6</v>
      </c>
      <c r="P75" s="33"/>
      <c r="Q75" s="33"/>
      <c r="R75" s="34"/>
    </row>
    <row r="76" spans="1:19" ht="27">
      <c r="A76" s="3"/>
      <c r="B76" s="3"/>
      <c r="C76" s="5" t="s">
        <v>7</v>
      </c>
      <c r="D76" s="5" t="s">
        <v>8</v>
      </c>
      <c r="E76" s="5" t="s">
        <v>9</v>
      </c>
      <c r="F76" s="5" t="s">
        <v>10</v>
      </c>
      <c r="G76" s="17" t="s">
        <v>7</v>
      </c>
      <c r="H76" s="17" t="s">
        <v>8</v>
      </c>
      <c r="I76" s="17" t="s">
        <v>9</v>
      </c>
      <c r="J76" s="17" t="s">
        <v>10</v>
      </c>
      <c r="K76" s="18" t="s">
        <v>7</v>
      </c>
      <c r="L76" s="18" t="s">
        <v>8</v>
      </c>
      <c r="M76" s="18" t="s">
        <v>9</v>
      </c>
      <c r="N76" s="18" t="s">
        <v>10</v>
      </c>
      <c r="O76" s="4" t="s">
        <v>7</v>
      </c>
      <c r="P76" s="4" t="s">
        <v>8</v>
      </c>
      <c r="Q76" s="4" t="s">
        <v>9</v>
      </c>
      <c r="R76" s="4" t="s">
        <v>10</v>
      </c>
      <c r="S76" s="20" t="s">
        <v>11</v>
      </c>
    </row>
    <row r="77" spans="1:19">
      <c r="A77" s="2" t="s">
        <v>12</v>
      </c>
      <c r="B77" s="6" t="s">
        <v>13</v>
      </c>
      <c r="C77" s="35"/>
      <c r="D77" s="36"/>
      <c r="E77" s="36"/>
      <c r="F77" s="37"/>
      <c r="G77" s="35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7"/>
      <c r="S77" s="13"/>
    </row>
    <row r="78" spans="1:19">
      <c r="A78" s="2">
        <v>2</v>
      </c>
      <c r="B78" s="2">
        <v>61</v>
      </c>
      <c r="C78" s="10">
        <v>15</v>
      </c>
      <c r="D78" s="9">
        <v>3</v>
      </c>
      <c r="E78" s="12">
        <v>2</v>
      </c>
      <c r="F78" s="8">
        <f>S78-C78-D78-E78</f>
        <v>50</v>
      </c>
      <c r="G78" s="11">
        <v>10</v>
      </c>
      <c r="H78" s="9">
        <v>3</v>
      </c>
      <c r="I78" s="12">
        <v>2</v>
      </c>
      <c r="J78" s="8">
        <f>S78-G78-H78-I78</f>
        <v>55</v>
      </c>
      <c r="K78" s="11">
        <v>15</v>
      </c>
      <c r="L78" s="9">
        <v>3</v>
      </c>
      <c r="M78" s="12">
        <v>2</v>
      </c>
      <c r="N78" s="8">
        <f>S78-K78-L78-M78</f>
        <v>50</v>
      </c>
      <c r="O78" s="11">
        <v>10</v>
      </c>
      <c r="P78" s="9">
        <v>3</v>
      </c>
      <c r="Q78" s="12">
        <v>2</v>
      </c>
      <c r="R78" s="8">
        <f>S78-O78-P78-Q78</f>
        <v>55</v>
      </c>
      <c r="S78" s="14">
        <f>SUM(C78:E78,G78:I78,K78:M78,O78:Q78)</f>
        <v>70</v>
      </c>
    </row>
    <row r="79" spans="1:19">
      <c r="A79" s="2">
        <v>4</v>
      </c>
      <c r="B79" s="2">
        <v>75</v>
      </c>
      <c r="C79" s="11">
        <v>15</v>
      </c>
      <c r="D79" s="9">
        <v>3</v>
      </c>
      <c r="E79" s="12">
        <v>2</v>
      </c>
      <c r="F79" s="8">
        <f t="shared" ref="F79:F81" si="19">S79-C79-D79-E79</f>
        <v>90</v>
      </c>
      <c r="G79" s="11">
        <v>30</v>
      </c>
      <c r="H79" s="9">
        <v>3</v>
      </c>
      <c r="I79" s="12">
        <v>2</v>
      </c>
      <c r="J79" s="8">
        <f t="shared" ref="J79:J81" si="20">S79-G79-H79-I79</f>
        <v>75</v>
      </c>
      <c r="K79" s="11">
        <v>15</v>
      </c>
      <c r="L79" s="9">
        <v>3</v>
      </c>
      <c r="M79" s="12">
        <v>2</v>
      </c>
      <c r="N79" s="8">
        <f t="shared" ref="N79:N81" si="21">S79-K79-L79-M79</f>
        <v>90</v>
      </c>
      <c r="O79" s="11">
        <v>30</v>
      </c>
      <c r="P79" s="9">
        <v>3</v>
      </c>
      <c r="Q79" s="12">
        <v>2</v>
      </c>
      <c r="R79" s="8">
        <f t="shared" ref="R79:R81" si="22">S79-O79-P79-Q79</f>
        <v>75</v>
      </c>
      <c r="S79" s="14">
        <f t="shared" ref="S79:S81" si="23">SUM(C79:E79,G79:I79,K79:M79,O79:Q79)</f>
        <v>110</v>
      </c>
    </row>
    <row r="80" spans="1:19">
      <c r="A80" s="2">
        <v>16</v>
      </c>
      <c r="B80" s="2">
        <v>81</v>
      </c>
      <c r="C80" s="11">
        <v>20</v>
      </c>
      <c r="D80" s="9">
        <v>3</v>
      </c>
      <c r="E80" s="12">
        <v>2</v>
      </c>
      <c r="F80" s="8">
        <f t="shared" si="19"/>
        <v>105</v>
      </c>
      <c r="G80" s="11">
        <v>45</v>
      </c>
      <c r="H80" s="9">
        <v>3</v>
      </c>
      <c r="I80" s="12">
        <v>2</v>
      </c>
      <c r="J80" s="8">
        <f t="shared" si="20"/>
        <v>80</v>
      </c>
      <c r="K80" s="11">
        <v>15</v>
      </c>
      <c r="L80" s="9">
        <v>3</v>
      </c>
      <c r="M80" s="12">
        <v>2</v>
      </c>
      <c r="N80" s="8">
        <f t="shared" si="21"/>
        <v>110</v>
      </c>
      <c r="O80" s="11">
        <v>30</v>
      </c>
      <c r="P80" s="9">
        <v>3</v>
      </c>
      <c r="Q80" s="12">
        <v>2</v>
      </c>
      <c r="R80" s="8">
        <f t="shared" si="22"/>
        <v>95</v>
      </c>
      <c r="S80" s="14">
        <f t="shared" si="23"/>
        <v>130</v>
      </c>
    </row>
    <row r="81" spans="1:19">
      <c r="A81" s="2">
        <v>24</v>
      </c>
      <c r="B81" s="2">
        <v>90</v>
      </c>
      <c r="C81" s="11">
        <v>15</v>
      </c>
      <c r="D81" s="9">
        <v>3</v>
      </c>
      <c r="E81" s="12">
        <v>2</v>
      </c>
      <c r="F81" s="8">
        <f t="shared" si="19"/>
        <v>130</v>
      </c>
      <c r="G81" s="11">
        <v>60</v>
      </c>
      <c r="H81" s="9">
        <v>3</v>
      </c>
      <c r="I81" s="12">
        <v>2</v>
      </c>
      <c r="J81" s="8">
        <f t="shared" si="20"/>
        <v>85</v>
      </c>
      <c r="K81" s="11">
        <v>15</v>
      </c>
      <c r="L81" s="9">
        <v>3</v>
      </c>
      <c r="M81" s="12">
        <v>2</v>
      </c>
      <c r="N81" s="8">
        <f t="shared" si="21"/>
        <v>130</v>
      </c>
      <c r="O81" s="11">
        <v>40</v>
      </c>
      <c r="P81" s="9">
        <v>3</v>
      </c>
      <c r="Q81" s="12">
        <v>2</v>
      </c>
      <c r="R81" s="8">
        <f t="shared" si="22"/>
        <v>105</v>
      </c>
      <c r="S81" s="14">
        <f t="shared" si="23"/>
        <v>150</v>
      </c>
    </row>
    <row r="82" spans="1:19">
      <c r="A82" s="23" t="s">
        <v>14</v>
      </c>
      <c r="B82" s="23"/>
      <c r="C82" s="23"/>
      <c r="D82" s="23"/>
      <c r="E82" s="23"/>
      <c r="F82" s="23"/>
      <c r="G82" s="23"/>
      <c r="H82" s="23"/>
      <c r="I82" s="23"/>
      <c r="J82" s="16"/>
      <c r="K82" s="16"/>
      <c r="L82" s="16"/>
      <c r="M82" s="16"/>
      <c r="N82" s="16"/>
      <c r="O82" s="16"/>
      <c r="P82" s="16"/>
      <c r="Q82" s="16"/>
    </row>
    <row r="83" spans="1:19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spans="1:19">
      <c r="A84" s="24" t="s">
        <v>15</v>
      </c>
      <c r="B84" s="24"/>
      <c r="C84" s="24"/>
      <c r="D84" s="24"/>
      <c r="E84" s="24"/>
      <c r="F84" s="24"/>
      <c r="G84" s="24"/>
      <c r="H84" s="24"/>
    </row>
    <row r="85" spans="1:19">
      <c r="A85" s="21" t="s">
        <v>16</v>
      </c>
      <c r="B85" s="25" t="s">
        <v>17</v>
      </c>
      <c r="C85" s="26"/>
      <c r="D85" s="26"/>
      <c r="E85" s="26"/>
      <c r="F85" s="26"/>
      <c r="G85" s="26"/>
      <c r="H85" s="27"/>
    </row>
    <row r="86" spans="1:19">
      <c r="A86" s="19" t="s">
        <v>18</v>
      </c>
      <c r="B86" s="22" t="s">
        <v>26</v>
      </c>
      <c r="C86" s="22"/>
      <c r="D86" s="22"/>
      <c r="E86" s="22"/>
      <c r="F86" s="22"/>
      <c r="G86" s="22"/>
      <c r="H86" s="22"/>
    </row>
    <row r="87" spans="1:19">
      <c r="A87" s="19" t="s">
        <v>4</v>
      </c>
      <c r="B87" s="22" t="s">
        <v>19</v>
      </c>
      <c r="C87" s="22"/>
      <c r="D87" s="22"/>
      <c r="E87" s="22"/>
      <c r="F87" s="22"/>
      <c r="G87" s="22"/>
      <c r="H87" s="22"/>
    </row>
    <row r="88" spans="1:19">
      <c r="A88" s="19" t="s">
        <v>5</v>
      </c>
      <c r="B88" s="22" t="s">
        <v>35</v>
      </c>
      <c r="C88" s="22"/>
      <c r="D88" s="22"/>
      <c r="E88" s="22"/>
      <c r="F88" s="22"/>
      <c r="G88" s="22"/>
      <c r="H88" s="22"/>
    </row>
    <row r="89" spans="1:19">
      <c r="A89" s="19" t="s">
        <v>22</v>
      </c>
      <c r="B89" s="22" t="s">
        <v>36</v>
      </c>
      <c r="C89" s="22"/>
      <c r="D89" s="22"/>
      <c r="E89" s="22"/>
      <c r="F89" s="22"/>
      <c r="G89" s="22"/>
      <c r="H89" s="22"/>
    </row>
    <row r="90" spans="1:19">
      <c r="A90" s="41"/>
      <c r="B90" s="41"/>
      <c r="C90" s="7"/>
      <c r="D90" s="7"/>
      <c r="E90" s="42"/>
      <c r="F90" s="42"/>
    </row>
    <row r="92" spans="1:19">
      <c r="A92" s="38" t="s">
        <v>37</v>
      </c>
      <c r="B92" s="38"/>
      <c r="C92" s="38"/>
      <c r="D92" s="38"/>
      <c r="E92" s="38"/>
      <c r="F92" s="38"/>
      <c r="G92" s="39"/>
      <c r="H92" s="39"/>
      <c r="I92" s="39"/>
      <c r="J92" s="39"/>
      <c r="K92" s="39"/>
      <c r="L92" s="39"/>
      <c r="M92" s="39"/>
      <c r="N92" s="39"/>
      <c r="O92" s="38"/>
      <c r="P92" s="38"/>
      <c r="Q92" s="38"/>
      <c r="R92" s="38"/>
    </row>
    <row r="93" spans="1:19">
      <c r="A93" s="1" t="s">
        <v>2</v>
      </c>
      <c r="B93" s="15"/>
      <c r="C93" s="28" t="s">
        <v>3</v>
      </c>
      <c r="D93" s="29"/>
      <c r="E93" s="29"/>
      <c r="F93" s="29"/>
      <c r="G93" s="30" t="s">
        <v>4</v>
      </c>
      <c r="H93" s="30"/>
      <c r="I93" s="30"/>
      <c r="J93" s="31"/>
      <c r="K93" s="32" t="s">
        <v>5</v>
      </c>
      <c r="L93" s="32"/>
      <c r="M93" s="32"/>
      <c r="N93" s="32"/>
      <c r="O93" s="33" t="s">
        <v>6</v>
      </c>
      <c r="P93" s="33"/>
      <c r="Q93" s="33"/>
      <c r="R93" s="34"/>
    </row>
    <row r="94" spans="1:19" ht="27">
      <c r="A94" s="3"/>
      <c r="B94" s="3"/>
      <c r="C94" s="5" t="s">
        <v>7</v>
      </c>
      <c r="D94" s="5" t="s">
        <v>8</v>
      </c>
      <c r="E94" s="5" t="s">
        <v>9</v>
      </c>
      <c r="F94" s="5" t="s">
        <v>10</v>
      </c>
      <c r="G94" s="17" t="s">
        <v>7</v>
      </c>
      <c r="H94" s="17" t="s">
        <v>8</v>
      </c>
      <c r="I94" s="17" t="s">
        <v>9</v>
      </c>
      <c r="J94" s="17" t="s">
        <v>10</v>
      </c>
      <c r="K94" s="18" t="s">
        <v>7</v>
      </c>
      <c r="L94" s="18" t="s">
        <v>8</v>
      </c>
      <c r="M94" s="18" t="s">
        <v>9</v>
      </c>
      <c r="N94" s="18" t="s">
        <v>10</v>
      </c>
      <c r="O94" s="4" t="s">
        <v>7</v>
      </c>
      <c r="P94" s="4" t="s">
        <v>8</v>
      </c>
      <c r="Q94" s="4" t="s">
        <v>9</v>
      </c>
      <c r="R94" s="4" t="s">
        <v>10</v>
      </c>
      <c r="S94" s="20" t="s">
        <v>11</v>
      </c>
    </row>
    <row r="95" spans="1:19">
      <c r="A95" s="2" t="s">
        <v>12</v>
      </c>
      <c r="B95" s="6" t="s">
        <v>13</v>
      </c>
      <c r="C95" s="35"/>
      <c r="D95" s="36"/>
      <c r="E95" s="36"/>
      <c r="F95" s="37"/>
      <c r="G95" s="35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7"/>
      <c r="S95" s="13"/>
    </row>
    <row r="96" spans="1:19">
      <c r="A96" s="2">
        <v>2</v>
      </c>
      <c r="B96" s="2">
        <v>30</v>
      </c>
      <c r="C96" s="10">
        <v>15</v>
      </c>
      <c r="D96" s="9">
        <v>3</v>
      </c>
      <c r="E96" s="12">
        <v>2</v>
      </c>
      <c r="F96" s="8">
        <f>S96-C96-D96-E96</f>
        <v>50</v>
      </c>
      <c r="G96" s="11">
        <v>10</v>
      </c>
      <c r="H96" s="9">
        <v>3</v>
      </c>
      <c r="I96" s="12">
        <v>2</v>
      </c>
      <c r="J96" s="8">
        <f>S96-G96-H96-I96</f>
        <v>55</v>
      </c>
      <c r="K96" s="11">
        <v>15</v>
      </c>
      <c r="L96" s="9">
        <v>3</v>
      </c>
      <c r="M96" s="12">
        <v>2</v>
      </c>
      <c r="N96" s="8">
        <f>S96-K96-L96-M96</f>
        <v>50</v>
      </c>
      <c r="O96" s="11">
        <v>10</v>
      </c>
      <c r="P96" s="9">
        <v>3</v>
      </c>
      <c r="Q96" s="12">
        <v>2</v>
      </c>
      <c r="R96" s="8">
        <f>S96-O96-P96-Q96</f>
        <v>55</v>
      </c>
      <c r="S96" s="14">
        <f>SUM(C96:E96,G96:I96,K96:M96,O96:Q96)</f>
        <v>70</v>
      </c>
    </row>
    <row r="97" spans="1:19">
      <c r="A97" s="2">
        <v>4</v>
      </c>
      <c r="B97" s="2">
        <v>20</v>
      </c>
      <c r="C97" s="11">
        <v>15</v>
      </c>
      <c r="D97" s="9">
        <v>3</v>
      </c>
      <c r="E97" s="12">
        <v>2</v>
      </c>
      <c r="F97" s="8">
        <f t="shared" ref="F97:F99" si="24">S97-C97-D97-E97</f>
        <v>90</v>
      </c>
      <c r="G97" s="11">
        <v>30</v>
      </c>
      <c r="H97" s="9">
        <v>3</v>
      </c>
      <c r="I97" s="12">
        <v>2</v>
      </c>
      <c r="J97" s="8">
        <f t="shared" ref="J97:J99" si="25">S97-G97-H97-I97</f>
        <v>75</v>
      </c>
      <c r="K97" s="11">
        <v>15</v>
      </c>
      <c r="L97" s="9">
        <v>3</v>
      </c>
      <c r="M97" s="12">
        <v>2</v>
      </c>
      <c r="N97" s="8">
        <f t="shared" ref="N97:N99" si="26">S97-K97-L97-M97</f>
        <v>90</v>
      </c>
      <c r="O97" s="11">
        <v>30</v>
      </c>
      <c r="P97" s="9">
        <v>3</v>
      </c>
      <c r="Q97" s="12">
        <v>2</v>
      </c>
      <c r="R97" s="8">
        <f t="shared" ref="R97:R99" si="27">S97-O97-P97-Q97</f>
        <v>75</v>
      </c>
      <c r="S97" s="14">
        <f t="shared" ref="S97:S99" si="28">SUM(C97:E97,G97:I97,K97:M97,O97:Q97)</f>
        <v>110</v>
      </c>
    </row>
    <row r="98" spans="1:19">
      <c r="A98" s="2">
        <v>16</v>
      </c>
      <c r="B98" s="2">
        <v>16</v>
      </c>
      <c r="C98" s="11">
        <v>20</v>
      </c>
      <c r="D98" s="9">
        <v>3</v>
      </c>
      <c r="E98" s="12">
        <v>2</v>
      </c>
      <c r="F98" s="8">
        <f t="shared" si="24"/>
        <v>105</v>
      </c>
      <c r="G98" s="11">
        <v>45</v>
      </c>
      <c r="H98" s="9">
        <v>3</v>
      </c>
      <c r="I98" s="12">
        <v>2</v>
      </c>
      <c r="J98" s="8">
        <f t="shared" si="25"/>
        <v>80</v>
      </c>
      <c r="K98" s="11">
        <v>15</v>
      </c>
      <c r="L98" s="9">
        <v>3</v>
      </c>
      <c r="M98" s="12">
        <v>2</v>
      </c>
      <c r="N98" s="8">
        <f t="shared" si="26"/>
        <v>110</v>
      </c>
      <c r="O98" s="11">
        <v>30</v>
      </c>
      <c r="P98" s="9">
        <v>3</v>
      </c>
      <c r="Q98" s="12">
        <v>2</v>
      </c>
      <c r="R98" s="8">
        <f t="shared" si="27"/>
        <v>95</v>
      </c>
      <c r="S98" s="14">
        <f t="shared" si="28"/>
        <v>130</v>
      </c>
    </row>
    <row r="99" spans="1:19">
      <c r="A99" s="2">
        <v>24</v>
      </c>
      <c r="B99" s="2">
        <v>40</v>
      </c>
      <c r="C99" s="11">
        <v>15</v>
      </c>
      <c r="D99" s="9">
        <v>3</v>
      </c>
      <c r="E99" s="12">
        <v>2</v>
      </c>
      <c r="F99" s="8">
        <f t="shared" si="24"/>
        <v>130</v>
      </c>
      <c r="G99" s="11">
        <v>50</v>
      </c>
      <c r="H99" s="9">
        <v>3</v>
      </c>
      <c r="I99" s="12">
        <v>2</v>
      </c>
      <c r="J99" s="8">
        <f t="shared" si="25"/>
        <v>95</v>
      </c>
      <c r="K99" s="11">
        <v>15</v>
      </c>
      <c r="L99" s="9">
        <v>3</v>
      </c>
      <c r="M99" s="12">
        <v>2</v>
      </c>
      <c r="N99" s="8">
        <f t="shared" si="26"/>
        <v>130</v>
      </c>
      <c r="O99" s="11">
        <v>50</v>
      </c>
      <c r="P99" s="9">
        <v>3</v>
      </c>
      <c r="Q99" s="12">
        <v>2</v>
      </c>
      <c r="R99" s="8">
        <f t="shared" si="27"/>
        <v>95</v>
      </c>
      <c r="S99" s="14">
        <f t="shared" si="28"/>
        <v>150</v>
      </c>
    </row>
    <row r="100" spans="1:19">
      <c r="A100" s="23" t="s">
        <v>14</v>
      </c>
      <c r="B100" s="23"/>
      <c r="C100" s="23"/>
      <c r="D100" s="23"/>
      <c r="E100" s="23"/>
      <c r="F100" s="23"/>
      <c r="G100" s="23"/>
      <c r="H100" s="23"/>
      <c r="I100" s="23"/>
      <c r="J100" s="16"/>
      <c r="K100" s="16"/>
      <c r="L100" s="16"/>
      <c r="M100" s="16"/>
      <c r="N100" s="16"/>
      <c r="O100" s="16"/>
      <c r="P100" s="16"/>
      <c r="Q100" s="16"/>
    </row>
    <row r="101" spans="1:19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19">
      <c r="A102" s="24" t="s">
        <v>15</v>
      </c>
      <c r="B102" s="24"/>
      <c r="C102" s="24"/>
      <c r="D102" s="24"/>
      <c r="E102" s="24"/>
      <c r="F102" s="24"/>
      <c r="G102" s="24"/>
      <c r="H102" s="24"/>
    </row>
    <row r="103" spans="1:19">
      <c r="A103" s="21" t="s">
        <v>16</v>
      </c>
      <c r="B103" s="25" t="s">
        <v>17</v>
      </c>
      <c r="C103" s="26"/>
      <c r="D103" s="26"/>
      <c r="E103" s="26"/>
      <c r="F103" s="26"/>
      <c r="G103" s="26"/>
      <c r="H103" s="27"/>
    </row>
    <row r="104" spans="1:19">
      <c r="A104" s="19" t="s">
        <v>18</v>
      </c>
      <c r="B104" s="22" t="s">
        <v>35</v>
      </c>
      <c r="C104" s="22"/>
      <c r="D104" s="22"/>
      <c r="E104" s="22"/>
      <c r="F104" s="22"/>
      <c r="G104" s="22"/>
      <c r="H104" s="22"/>
    </row>
    <row r="105" spans="1:19">
      <c r="A105" s="19" t="s">
        <v>4</v>
      </c>
      <c r="B105" s="22" t="s">
        <v>19</v>
      </c>
      <c r="C105" s="22"/>
      <c r="D105" s="22"/>
      <c r="E105" s="22"/>
      <c r="F105" s="22"/>
      <c r="G105" s="22"/>
      <c r="H105" s="22"/>
    </row>
    <row r="106" spans="1:19">
      <c r="A106" s="19" t="s">
        <v>5</v>
      </c>
      <c r="B106" s="22" t="s">
        <v>38</v>
      </c>
      <c r="C106" s="22"/>
      <c r="D106" s="22"/>
      <c r="E106" s="22"/>
      <c r="F106" s="22"/>
      <c r="G106" s="22"/>
      <c r="H106" s="22"/>
    </row>
    <row r="107" spans="1:19">
      <c r="A107" s="19" t="s">
        <v>22</v>
      </c>
      <c r="B107" s="22" t="s">
        <v>39</v>
      </c>
      <c r="C107" s="22"/>
      <c r="D107" s="22"/>
      <c r="E107" s="22"/>
      <c r="F107" s="22"/>
      <c r="G107" s="22"/>
      <c r="H107" s="22"/>
    </row>
    <row r="110" spans="1:19">
      <c r="A110" s="38" t="s">
        <v>40</v>
      </c>
      <c r="B110" s="38"/>
      <c r="C110" s="38"/>
      <c r="D110" s="38"/>
      <c r="E110" s="38"/>
      <c r="F110" s="38"/>
      <c r="G110" s="39"/>
      <c r="H110" s="39"/>
      <c r="I110" s="39"/>
      <c r="J110" s="39"/>
      <c r="K110" s="39"/>
      <c r="L110" s="39"/>
      <c r="M110" s="39"/>
      <c r="N110" s="39"/>
      <c r="O110" s="38"/>
      <c r="P110" s="38"/>
      <c r="Q110" s="38"/>
      <c r="R110" s="38"/>
    </row>
    <row r="111" spans="1:19">
      <c r="A111" s="1" t="s">
        <v>2</v>
      </c>
      <c r="B111" s="15"/>
      <c r="C111" s="28" t="s">
        <v>3</v>
      </c>
      <c r="D111" s="29"/>
      <c r="E111" s="29"/>
      <c r="F111" s="29"/>
      <c r="G111" s="30" t="s">
        <v>4</v>
      </c>
      <c r="H111" s="30"/>
      <c r="I111" s="30"/>
      <c r="J111" s="31"/>
      <c r="K111" s="32" t="s">
        <v>5</v>
      </c>
      <c r="L111" s="32"/>
      <c r="M111" s="32"/>
      <c r="N111" s="32"/>
      <c r="O111" s="33" t="s">
        <v>6</v>
      </c>
      <c r="P111" s="33"/>
      <c r="Q111" s="33"/>
      <c r="R111" s="34"/>
    </row>
    <row r="112" spans="1:19" ht="27">
      <c r="A112" s="3"/>
      <c r="B112" s="3"/>
      <c r="C112" s="5" t="s">
        <v>7</v>
      </c>
      <c r="D112" s="5" t="s">
        <v>8</v>
      </c>
      <c r="E112" s="5" t="s">
        <v>9</v>
      </c>
      <c r="F112" s="5" t="s">
        <v>10</v>
      </c>
      <c r="G112" s="17" t="s">
        <v>7</v>
      </c>
      <c r="H112" s="17" t="s">
        <v>8</v>
      </c>
      <c r="I112" s="17" t="s">
        <v>9</v>
      </c>
      <c r="J112" s="17" t="s">
        <v>10</v>
      </c>
      <c r="K112" s="18" t="s">
        <v>7</v>
      </c>
      <c r="L112" s="18" t="s">
        <v>8</v>
      </c>
      <c r="M112" s="18" t="s">
        <v>9</v>
      </c>
      <c r="N112" s="18" t="s">
        <v>10</v>
      </c>
      <c r="O112" s="4" t="s">
        <v>7</v>
      </c>
      <c r="P112" s="4" t="s">
        <v>8</v>
      </c>
      <c r="Q112" s="4" t="s">
        <v>9</v>
      </c>
      <c r="R112" s="4" t="s">
        <v>10</v>
      </c>
      <c r="S112" s="20" t="s">
        <v>11</v>
      </c>
    </row>
    <row r="113" spans="1:19">
      <c r="A113" s="2" t="s">
        <v>12</v>
      </c>
      <c r="B113" s="6" t="s">
        <v>13</v>
      </c>
      <c r="C113" s="35"/>
      <c r="D113" s="36"/>
      <c r="E113" s="36"/>
      <c r="F113" s="37"/>
      <c r="G113" s="35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7"/>
      <c r="S113" s="13"/>
    </row>
    <row r="114" spans="1:19">
      <c r="A114" s="2">
        <v>2</v>
      </c>
      <c r="B114" s="2">
        <v>40</v>
      </c>
      <c r="C114" s="10">
        <v>15</v>
      </c>
      <c r="D114" s="9">
        <v>3</v>
      </c>
      <c r="E114" s="12">
        <v>2</v>
      </c>
      <c r="F114" s="8">
        <f>S114-C114-D114-E114</f>
        <v>50</v>
      </c>
      <c r="G114" s="11">
        <v>10</v>
      </c>
      <c r="H114" s="9">
        <v>3</v>
      </c>
      <c r="I114" s="12">
        <v>2</v>
      </c>
      <c r="J114" s="8">
        <f>S114-G114-H114-I114</f>
        <v>55</v>
      </c>
      <c r="K114" s="11">
        <v>15</v>
      </c>
      <c r="L114" s="9">
        <v>3</v>
      </c>
      <c r="M114" s="12">
        <v>2</v>
      </c>
      <c r="N114" s="8">
        <f>S114-K114-L114-M114</f>
        <v>50</v>
      </c>
      <c r="O114" s="11">
        <v>10</v>
      </c>
      <c r="P114" s="9">
        <v>3</v>
      </c>
      <c r="Q114" s="12">
        <v>2</v>
      </c>
      <c r="R114" s="8">
        <f>S114-O114-P114-Q114</f>
        <v>55</v>
      </c>
      <c r="S114" s="14">
        <f>SUM(C114:E114,G114:I114,K114:M114,O114:Q114)</f>
        <v>70</v>
      </c>
    </row>
    <row r="115" spans="1:19">
      <c r="A115" s="2">
        <v>4</v>
      </c>
      <c r="B115" s="2">
        <v>20</v>
      </c>
      <c r="C115" s="11">
        <v>15</v>
      </c>
      <c r="D115" s="9">
        <v>3</v>
      </c>
      <c r="E115" s="12">
        <v>2</v>
      </c>
      <c r="F115" s="8">
        <f t="shared" ref="F115:F117" si="29">S115-C115-D115-E115</f>
        <v>90</v>
      </c>
      <c r="G115" s="11">
        <v>40</v>
      </c>
      <c r="H115" s="9">
        <v>3</v>
      </c>
      <c r="I115" s="12">
        <v>2</v>
      </c>
      <c r="J115" s="8">
        <f t="shared" ref="J115:J117" si="30">S115-G115-H115-I115</f>
        <v>65</v>
      </c>
      <c r="K115" s="11">
        <v>20</v>
      </c>
      <c r="L115" s="9">
        <v>3</v>
      </c>
      <c r="M115" s="12">
        <v>2</v>
      </c>
      <c r="N115" s="8">
        <f t="shared" ref="N115:N117" si="31">S115-K115-L115-M115</f>
        <v>85</v>
      </c>
      <c r="O115" s="11">
        <v>15</v>
      </c>
      <c r="P115" s="9">
        <v>3</v>
      </c>
      <c r="Q115" s="12">
        <v>2</v>
      </c>
      <c r="R115" s="8">
        <v>33</v>
      </c>
      <c r="S115" s="14">
        <f t="shared" ref="S115:S117" si="32">SUM(C115:E115,G115:I115,K115:M115,O115:Q115)</f>
        <v>110</v>
      </c>
    </row>
    <row r="116" spans="1:19">
      <c r="A116" s="2">
        <v>16</v>
      </c>
      <c r="B116" s="2">
        <v>16</v>
      </c>
      <c r="C116" s="11">
        <v>25</v>
      </c>
      <c r="D116" s="9">
        <v>3</v>
      </c>
      <c r="E116" s="12">
        <v>2</v>
      </c>
      <c r="F116" s="8">
        <f t="shared" si="29"/>
        <v>100</v>
      </c>
      <c r="G116" s="11">
        <v>40</v>
      </c>
      <c r="H116" s="9">
        <v>3</v>
      </c>
      <c r="I116" s="12">
        <v>2</v>
      </c>
      <c r="J116" s="8">
        <f t="shared" si="30"/>
        <v>85</v>
      </c>
      <c r="K116" s="11">
        <v>30</v>
      </c>
      <c r="L116" s="9">
        <v>3</v>
      </c>
      <c r="M116" s="12">
        <v>2</v>
      </c>
      <c r="N116" s="8">
        <f t="shared" si="31"/>
        <v>95</v>
      </c>
      <c r="O116" s="11">
        <v>15</v>
      </c>
      <c r="P116" s="9">
        <v>3</v>
      </c>
      <c r="Q116" s="12">
        <v>2</v>
      </c>
      <c r="R116" s="8">
        <v>35</v>
      </c>
      <c r="S116" s="14">
        <f t="shared" si="32"/>
        <v>130</v>
      </c>
    </row>
    <row r="117" spans="1:19">
      <c r="A117" s="2">
        <v>24</v>
      </c>
      <c r="B117" s="2">
        <v>40</v>
      </c>
      <c r="C117" s="11">
        <v>25</v>
      </c>
      <c r="D117" s="9">
        <v>3</v>
      </c>
      <c r="E117" s="12">
        <v>2</v>
      </c>
      <c r="F117" s="8">
        <f t="shared" si="29"/>
        <v>120</v>
      </c>
      <c r="G117" s="11">
        <v>50</v>
      </c>
      <c r="H117" s="9">
        <v>3</v>
      </c>
      <c r="I117" s="12">
        <v>2</v>
      </c>
      <c r="J117" s="8">
        <f t="shared" si="30"/>
        <v>95</v>
      </c>
      <c r="K117" s="11">
        <v>40</v>
      </c>
      <c r="L117" s="9">
        <v>3</v>
      </c>
      <c r="M117" s="12">
        <v>2</v>
      </c>
      <c r="N117" s="8">
        <f t="shared" si="31"/>
        <v>105</v>
      </c>
      <c r="O117" s="11">
        <v>15</v>
      </c>
      <c r="P117" s="9">
        <v>3</v>
      </c>
      <c r="Q117" s="12">
        <v>2</v>
      </c>
      <c r="R117" s="8">
        <v>29</v>
      </c>
      <c r="S117" s="14">
        <f t="shared" si="32"/>
        <v>150</v>
      </c>
    </row>
    <row r="118" spans="1:19">
      <c r="A118" s="23" t="s">
        <v>14</v>
      </c>
      <c r="B118" s="23"/>
      <c r="C118" s="23"/>
      <c r="D118" s="23"/>
      <c r="E118" s="23"/>
      <c r="F118" s="23"/>
      <c r="G118" s="23"/>
      <c r="H118" s="23"/>
      <c r="I118" s="23"/>
      <c r="J118" s="16"/>
      <c r="K118" s="16"/>
      <c r="L118" s="16"/>
      <c r="M118" s="16"/>
      <c r="N118" s="16"/>
      <c r="O118" s="16"/>
      <c r="P118" s="16"/>
      <c r="Q118" s="16"/>
    </row>
    <row r="119" spans="1: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19">
      <c r="A120" s="24" t="s">
        <v>15</v>
      </c>
      <c r="B120" s="24"/>
      <c r="C120" s="24"/>
      <c r="D120" s="24"/>
      <c r="E120" s="24"/>
      <c r="F120" s="24"/>
      <c r="G120" s="24"/>
      <c r="H120" s="24"/>
    </row>
    <row r="121" spans="1:19">
      <c r="A121" s="21" t="s">
        <v>16</v>
      </c>
      <c r="B121" s="25" t="s">
        <v>17</v>
      </c>
      <c r="C121" s="26"/>
      <c r="D121" s="26"/>
      <c r="E121" s="26"/>
      <c r="F121" s="26"/>
      <c r="G121" s="26"/>
      <c r="H121" s="27"/>
    </row>
    <row r="122" spans="1:19">
      <c r="A122" s="19" t="s">
        <v>18</v>
      </c>
      <c r="B122" s="22" t="s">
        <v>41</v>
      </c>
      <c r="C122" s="22"/>
      <c r="D122" s="22"/>
      <c r="E122" s="22"/>
      <c r="F122" s="22"/>
      <c r="G122" s="22"/>
      <c r="H122" s="22"/>
    </row>
    <row r="123" spans="1:19">
      <c r="A123" s="19" t="s">
        <v>4</v>
      </c>
      <c r="B123" s="22" t="s">
        <v>19</v>
      </c>
      <c r="C123" s="22"/>
      <c r="D123" s="22"/>
      <c r="E123" s="22"/>
      <c r="F123" s="22"/>
      <c r="G123" s="22"/>
      <c r="H123" s="22"/>
    </row>
    <row r="124" spans="1:19">
      <c r="A124" s="19" t="s">
        <v>5</v>
      </c>
      <c r="B124" s="22" t="s">
        <v>42</v>
      </c>
      <c r="C124" s="22"/>
      <c r="D124" s="22"/>
      <c r="E124" s="22"/>
      <c r="F124" s="22"/>
      <c r="G124" s="22"/>
      <c r="H124" s="22"/>
    </row>
    <row r="125" spans="1:19">
      <c r="A125" s="19" t="s">
        <v>22</v>
      </c>
      <c r="B125" s="22" t="s">
        <v>23</v>
      </c>
      <c r="C125" s="22"/>
      <c r="D125" s="22"/>
      <c r="E125" s="22"/>
      <c r="F125" s="22"/>
      <c r="G125" s="22"/>
      <c r="H125" s="22"/>
    </row>
    <row r="128" spans="1:19">
      <c r="A128" s="38" t="s">
        <v>43</v>
      </c>
      <c r="B128" s="38"/>
      <c r="C128" s="38"/>
      <c r="D128" s="38"/>
      <c r="E128" s="38"/>
      <c r="F128" s="38"/>
      <c r="G128" s="39"/>
      <c r="H128" s="39"/>
      <c r="I128" s="39"/>
      <c r="J128" s="39"/>
      <c r="K128" s="39"/>
      <c r="L128" s="39"/>
      <c r="M128" s="39"/>
      <c r="N128" s="39"/>
      <c r="O128" s="38"/>
      <c r="P128" s="38"/>
      <c r="Q128" s="38"/>
      <c r="R128" s="38"/>
    </row>
    <row r="129" spans="1:19">
      <c r="A129" s="1" t="s">
        <v>2</v>
      </c>
      <c r="B129" s="15"/>
      <c r="C129" s="28" t="s">
        <v>3</v>
      </c>
      <c r="D129" s="29"/>
      <c r="E129" s="29"/>
      <c r="F129" s="29"/>
      <c r="G129" s="30" t="s">
        <v>4</v>
      </c>
      <c r="H129" s="30"/>
      <c r="I129" s="30"/>
      <c r="J129" s="31"/>
      <c r="K129" s="32" t="s">
        <v>5</v>
      </c>
      <c r="L129" s="32"/>
      <c r="M129" s="32"/>
      <c r="N129" s="32"/>
      <c r="O129" s="33" t="s">
        <v>6</v>
      </c>
      <c r="P129" s="33"/>
      <c r="Q129" s="33"/>
      <c r="R129" s="34"/>
    </row>
    <row r="130" spans="1:19" ht="27">
      <c r="A130" s="3"/>
      <c r="B130" s="3"/>
      <c r="C130" s="5" t="s">
        <v>7</v>
      </c>
      <c r="D130" s="5" t="s">
        <v>8</v>
      </c>
      <c r="E130" s="5" t="s">
        <v>9</v>
      </c>
      <c r="F130" s="5" t="s">
        <v>10</v>
      </c>
      <c r="G130" s="17" t="s">
        <v>7</v>
      </c>
      <c r="H130" s="17" t="s">
        <v>8</v>
      </c>
      <c r="I130" s="17" t="s">
        <v>9</v>
      </c>
      <c r="J130" s="17" t="s">
        <v>10</v>
      </c>
      <c r="K130" s="18" t="s">
        <v>7</v>
      </c>
      <c r="L130" s="18" t="s">
        <v>8</v>
      </c>
      <c r="M130" s="18" t="s">
        <v>9</v>
      </c>
      <c r="N130" s="18" t="s">
        <v>10</v>
      </c>
      <c r="O130" s="4" t="s">
        <v>7</v>
      </c>
      <c r="P130" s="4" t="s">
        <v>8</v>
      </c>
      <c r="Q130" s="4" t="s">
        <v>9</v>
      </c>
      <c r="R130" s="4" t="s">
        <v>10</v>
      </c>
      <c r="S130" s="20" t="s">
        <v>11</v>
      </c>
    </row>
    <row r="131" spans="1:19">
      <c r="A131" s="2" t="s">
        <v>12</v>
      </c>
      <c r="B131" s="6" t="s">
        <v>13</v>
      </c>
      <c r="C131" s="35"/>
      <c r="D131" s="36"/>
      <c r="E131" s="36"/>
      <c r="F131" s="37"/>
      <c r="G131" s="35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7"/>
      <c r="S131" s="13"/>
    </row>
    <row r="132" spans="1:19">
      <c r="A132" s="2">
        <v>2</v>
      </c>
      <c r="B132" s="2">
        <v>51</v>
      </c>
      <c r="C132" s="10">
        <v>23</v>
      </c>
      <c r="D132" s="9">
        <v>5</v>
      </c>
      <c r="E132" s="12">
        <v>7</v>
      </c>
      <c r="F132" s="8">
        <f>S132-C132-D132-E132</f>
        <v>35</v>
      </c>
      <c r="G132" s="11">
        <v>23</v>
      </c>
      <c r="H132" s="9">
        <v>5</v>
      </c>
      <c r="I132" s="12">
        <v>7</v>
      </c>
      <c r="J132" s="8">
        <f>S132-G132-H132-I132</f>
        <v>35</v>
      </c>
      <c r="K132" s="11"/>
      <c r="L132" s="9"/>
      <c r="M132" s="12"/>
      <c r="N132" s="8"/>
      <c r="O132" s="11"/>
      <c r="P132" s="9"/>
      <c r="Q132" s="12"/>
      <c r="R132" s="8"/>
      <c r="S132" s="14">
        <f>SUM(C132:E132,G132:I132,K132:M132,O132:Q132)</f>
        <v>70</v>
      </c>
    </row>
    <row r="133" spans="1:19">
      <c r="A133" s="2">
        <v>4</v>
      </c>
      <c r="B133" s="2">
        <v>0</v>
      </c>
      <c r="C133" s="11">
        <v>43</v>
      </c>
      <c r="D133" s="9">
        <v>5</v>
      </c>
      <c r="E133" s="12">
        <v>7</v>
      </c>
      <c r="F133" s="8">
        <f t="shared" ref="F133:F135" si="33">S133-C133-D133-E133</f>
        <v>55</v>
      </c>
      <c r="G133" s="11">
        <v>43</v>
      </c>
      <c r="H133" s="9">
        <v>5</v>
      </c>
      <c r="I133" s="12">
        <v>7</v>
      </c>
      <c r="J133" s="8">
        <f t="shared" ref="J133:J135" si="34">S133-G133-H133-I133</f>
        <v>55</v>
      </c>
      <c r="K133" s="11"/>
      <c r="L133" s="9"/>
      <c r="M133" s="12"/>
      <c r="N133" s="8"/>
      <c r="O133" s="11"/>
      <c r="P133" s="9"/>
      <c r="Q133" s="12"/>
      <c r="R133" s="8"/>
      <c r="S133" s="14">
        <f t="shared" ref="S133:S135" si="35">SUM(C133:E133,G133:I133,K133:M133,O133:Q133)</f>
        <v>110</v>
      </c>
    </row>
    <row r="134" spans="1:19">
      <c r="A134" s="2">
        <v>16</v>
      </c>
      <c r="B134" s="2">
        <v>0</v>
      </c>
      <c r="C134" s="11">
        <v>53</v>
      </c>
      <c r="D134" s="9">
        <v>5</v>
      </c>
      <c r="E134" s="12">
        <v>7</v>
      </c>
      <c r="F134" s="8">
        <f t="shared" si="33"/>
        <v>65</v>
      </c>
      <c r="G134" s="11">
        <v>53</v>
      </c>
      <c r="H134" s="9">
        <v>5</v>
      </c>
      <c r="I134" s="12">
        <v>7</v>
      </c>
      <c r="J134" s="8">
        <f t="shared" si="34"/>
        <v>65</v>
      </c>
      <c r="K134" s="11"/>
      <c r="L134" s="9"/>
      <c r="M134" s="12"/>
      <c r="N134" s="8"/>
      <c r="O134" s="11"/>
      <c r="P134" s="9"/>
      <c r="Q134" s="12"/>
      <c r="R134" s="8"/>
      <c r="S134" s="14">
        <f t="shared" si="35"/>
        <v>130</v>
      </c>
    </row>
    <row r="135" spans="1:19">
      <c r="A135" s="2">
        <v>24</v>
      </c>
      <c r="B135" s="2">
        <v>0</v>
      </c>
      <c r="C135" s="11">
        <v>63</v>
      </c>
      <c r="D135" s="9">
        <v>5</v>
      </c>
      <c r="E135" s="12">
        <v>7</v>
      </c>
      <c r="F135" s="8">
        <f t="shared" si="33"/>
        <v>75</v>
      </c>
      <c r="G135" s="11">
        <v>63</v>
      </c>
      <c r="H135" s="9">
        <v>5</v>
      </c>
      <c r="I135" s="12">
        <v>7</v>
      </c>
      <c r="J135" s="8">
        <f t="shared" si="34"/>
        <v>75</v>
      </c>
      <c r="K135" s="11"/>
      <c r="L135" s="9"/>
      <c r="M135" s="12"/>
      <c r="N135" s="8"/>
      <c r="O135" s="11"/>
      <c r="P135" s="9"/>
      <c r="Q135" s="12"/>
      <c r="R135" s="8"/>
      <c r="S135" s="14">
        <f t="shared" si="35"/>
        <v>150</v>
      </c>
    </row>
    <row r="136" spans="1:19">
      <c r="A136" s="23" t="s">
        <v>14</v>
      </c>
      <c r="B136" s="23"/>
      <c r="C136" s="23"/>
      <c r="D136" s="23"/>
      <c r="E136" s="23"/>
      <c r="F136" s="23"/>
      <c r="G136" s="23"/>
      <c r="H136" s="23"/>
      <c r="I136" s="23"/>
      <c r="J136" s="16"/>
      <c r="K136" s="16"/>
      <c r="L136" s="16"/>
      <c r="M136" s="16"/>
      <c r="N136" s="16"/>
      <c r="O136" s="16"/>
      <c r="P136" s="16"/>
      <c r="Q136" s="16"/>
    </row>
    <row r="137" spans="1:19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19">
      <c r="A138" s="24" t="s">
        <v>15</v>
      </c>
      <c r="B138" s="24"/>
      <c r="C138" s="24"/>
      <c r="D138" s="24"/>
      <c r="E138" s="24"/>
      <c r="F138" s="24"/>
      <c r="G138" s="24"/>
      <c r="H138" s="24"/>
    </row>
    <row r="139" spans="1:19">
      <c r="A139" s="21" t="s">
        <v>16</v>
      </c>
      <c r="B139" s="25" t="s">
        <v>17</v>
      </c>
      <c r="C139" s="26"/>
      <c r="D139" s="26"/>
      <c r="E139" s="26"/>
      <c r="F139" s="26"/>
      <c r="G139" s="26"/>
      <c r="H139" s="27"/>
    </row>
    <row r="140" spans="1:19">
      <c r="A140" s="19" t="s">
        <v>18</v>
      </c>
      <c r="B140" s="22" t="s">
        <v>44</v>
      </c>
      <c r="C140" s="22"/>
      <c r="D140" s="22"/>
      <c r="E140" s="22"/>
      <c r="F140" s="22"/>
      <c r="G140" s="22"/>
      <c r="H140" s="22"/>
    </row>
    <row r="141" spans="1:19">
      <c r="A141" s="19" t="s">
        <v>4</v>
      </c>
      <c r="B141" s="22" t="s">
        <v>38</v>
      </c>
      <c r="C141" s="22"/>
      <c r="D141" s="22"/>
      <c r="E141" s="22"/>
      <c r="F141" s="22"/>
      <c r="G141" s="22"/>
      <c r="H141" s="22"/>
    </row>
    <row r="144" spans="1:19">
      <c r="A144" s="38" t="s">
        <v>45</v>
      </c>
      <c r="B144" s="38"/>
      <c r="C144" s="38"/>
      <c r="D144" s="38"/>
      <c r="E144" s="38"/>
      <c r="F144" s="38"/>
      <c r="G144" s="39"/>
      <c r="H144" s="39"/>
      <c r="I144" s="39"/>
      <c r="J144" s="39"/>
      <c r="K144" s="39"/>
      <c r="L144" s="39"/>
      <c r="M144" s="39"/>
      <c r="N144" s="39"/>
      <c r="O144" s="38"/>
      <c r="P144" s="38"/>
      <c r="Q144" s="38"/>
      <c r="R144" s="38"/>
    </row>
    <row r="145" spans="1:19">
      <c r="A145" s="1" t="s">
        <v>2</v>
      </c>
      <c r="B145" s="15"/>
      <c r="C145" s="28" t="s">
        <v>3</v>
      </c>
      <c r="D145" s="29"/>
      <c r="E145" s="29"/>
      <c r="F145" s="29"/>
      <c r="G145" s="30" t="s">
        <v>4</v>
      </c>
      <c r="H145" s="30"/>
      <c r="I145" s="30"/>
      <c r="J145" s="31"/>
      <c r="K145" s="32" t="s">
        <v>5</v>
      </c>
      <c r="L145" s="32"/>
      <c r="M145" s="32"/>
      <c r="N145" s="32"/>
      <c r="O145" s="33" t="s">
        <v>6</v>
      </c>
      <c r="P145" s="33"/>
      <c r="Q145" s="33"/>
      <c r="R145" s="34"/>
    </row>
    <row r="146" spans="1:19" ht="27">
      <c r="A146" s="3"/>
      <c r="B146" s="3"/>
      <c r="C146" s="5" t="s">
        <v>7</v>
      </c>
      <c r="D146" s="5" t="s">
        <v>8</v>
      </c>
      <c r="E146" s="5" t="s">
        <v>9</v>
      </c>
      <c r="F146" s="5" t="s">
        <v>10</v>
      </c>
      <c r="G146" s="17" t="s">
        <v>7</v>
      </c>
      <c r="H146" s="17" t="s">
        <v>8</v>
      </c>
      <c r="I146" s="17" t="s">
        <v>9</v>
      </c>
      <c r="J146" s="17" t="s">
        <v>10</v>
      </c>
      <c r="K146" s="18" t="s">
        <v>7</v>
      </c>
      <c r="L146" s="18" t="s">
        <v>8</v>
      </c>
      <c r="M146" s="18" t="s">
        <v>9</v>
      </c>
      <c r="N146" s="18" t="s">
        <v>10</v>
      </c>
      <c r="O146" s="4" t="s">
        <v>7</v>
      </c>
      <c r="P146" s="4" t="s">
        <v>8</v>
      </c>
      <c r="Q146" s="4" t="s">
        <v>9</v>
      </c>
      <c r="R146" s="4" t="s">
        <v>10</v>
      </c>
      <c r="S146" s="20" t="s">
        <v>11</v>
      </c>
    </row>
    <row r="147" spans="1:19">
      <c r="A147" s="2" t="s">
        <v>12</v>
      </c>
      <c r="B147" s="6" t="s">
        <v>13</v>
      </c>
      <c r="C147" s="35"/>
      <c r="D147" s="36"/>
      <c r="E147" s="36"/>
      <c r="F147" s="37"/>
      <c r="G147" s="35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7"/>
      <c r="S147" s="13"/>
    </row>
    <row r="148" spans="1:19">
      <c r="A148" s="2">
        <v>2</v>
      </c>
      <c r="B148" s="2">
        <v>19</v>
      </c>
      <c r="C148" s="10">
        <v>13</v>
      </c>
      <c r="D148" s="9">
        <v>5</v>
      </c>
      <c r="E148" s="12">
        <v>2</v>
      </c>
      <c r="F148" s="8">
        <f>S148-C148-D148-E148</f>
        <v>50</v>
      </c>
      <c r="G148" s="11">
        <v>22</v>
      </c>
      <c r="H148" s="9">
        <v>5</v>
      </c>
      <c r="I148" s="12">
        <v>2</v>
      </c>
      <c r="J148" s="8">
        <f>S148-G148-H148-I148</f>
        <v>41</v>
      </c>
      <c r="K148" s="11">
        <v>14</v>
      </c>
      <c r="L148" s="9">
        <v>5</v>
      </c>
      <c r="M148" s="12">
        <v>2</v>
      </c>
      <c r="N148" s="8">
        <f>S148-K148-L148-M148</f>
        <v>49</v>
      </c>
      <c r="O148" s="11"/>
      <c r="P148" s="9"/>
      <c r="Q148" s="12"/>
      <c r="R148" s="8"/>
      <c r="S148" s="14">
        <f>SUM(C148:E148,G148:I148,K148:M148,O148:Q148)</f>
        <v>70</v>
      </c>
    </row>
    <row r="149" spans="1:19">
      <c r="A149" s="2">
        <v>4</v>
      </c>
      <c r="B149" s="2">
        <v>80</v>
      </c>
      <c r="C149" s="11">
        <v>13</v>
      </c>
      <c r="D149" s="9">
        <v>5</v>
      </c>
      <c r="E149" s="12">
        <v>2</v>
      </c>
      <c r="F149" s="8">
        <f t="shared" ref="F149:F151" si="36">S149-C149-D149-E149</f>
        <v>90</v>
      </c>
      <c r="G149" s="11">
        <v>48</v>
      </c>
      <c r="H149" s="9">
        <v>5</v>
      </c>
      <c r="I149" s="12">
        <v>2</v>
      </c>
      <c r="J149" s="8">
        <f t="shared" ref="J149:J151" si="37">S149-G149-H149-I149</f>
        <v>55</v>
      </c>
      <c r="K149" s="11">
        <v>28</v>
      </c>
      <c r="L149" s="9">
        <v>5</v>
      </c>
      <c r="M149" s="12">
        <v>2</v>
      </c>
      <c r="N149" s="8">
        <f t="shared" ref="N149:N151" si="38">S149-K149-L149-M149</f>
        <v>75</v>
      </c>
      <c r="O149" s="11"/>
      <c r="P149" s="9"/>
      <c r="Q149" s="12"/>
      <c r="R149" s="8"/>
      <c r="S149" s="14">
        <f t="shared" ref="S149:S151" si="39">SUM(C149:E149,G149:I149,K149:M149,O149:Q149)</f>
        <v>110</v>
      </c>
    </row>
    <row r="150" spans="1:19">
      <c r="A150" s="2">
        <v>16</v>
      </c>
      <c r="B150" s="2">
        <v>87</v>
      </c>
      <c r="C150" s="11">
        <v>13</v>
      </c>
      <c r="D150" s="9">
        <v>5</v>
      </c>
      <c r="E150" s="12">
        <v>2</v>
      </c>
      <c r="F150" s="8">
        <f t="shared" si="36"/>
        <v>110</v>
      </c>
      <c r="G150" s="11">
        <v>50</v>
      </c>
      <c r="H150" s="9">
        <v>5</v>
      </c>
      <c r="I150" s="12">
        <v>2</v>
      </c>
      <c r="J150" s="8">
        <f t="shared" si="37"/>
        <v>73</v>
      </c>
      <c r="K150" s="11">
        <v>46</v>
      </c>
      <c r="L150" s="9">
        <v>5</v>
      </c>
      <c r="M150" s="12">
        <v>2</v>
      </c>
      <c r="N150" s="8">
        <f t="shared" si="38"/>
        <v>77</v>
      </c>
      <c r="O150" s="11"/>
      <c r="P150" s="9"/>
      <c r="Q150" s="12"/>
      <c r="R150" s="8"/>
      <c r="S150" s="14">
        <f t="shared" si="39"/>
        <v>130</v>
      </c>
    </row>
    <row r="151" spans="1:19">
      <c r="A151" s="2">
        <v>24</v>
      </c>
      <c r="B151" s="2">
        <v>100</v>
      </c>
      <c r="C151" s="11">
        <v>13</v>
      </c>
      <c r="D151" s="9">
        <v>5</v>
      </c>
      <c r="E151" s="12">
        <v>2</v>
      </c>
      <c r="F151" s="8">
        <f t="shared" si="36"/>
        <v>130</v>
      </c>
      <c r="G151" s="11">
        <v>53</v>
      </c>
      <c r="H151" s="9">
        <v>5</v>
      </c>
      <c r="I151" s="12">
        <v>2</v>
      </c>
      <c r="J151" s="8">
        <f t="shared" si="37"/>
        <v>90</v>
      </c>
      <c r="K151" s="11">
        <v>63</v>
      </c>
      <c r="L151" s="9">
        <v>5</v>
      </c>
      <c r="M151" s="12">
        <v>2</v>
      </c>
      <c r="N151" s="8">
        <f t="shared" si="38"/>
        <v>80</v>
      </c>
      <c r="O151" s="11"/>
      <c r="P151" s="9"/>
      <c r="Q151" s="12"/>
      <c r="R151" s="8"/>
      <c r="S151" s="14">
        <f t="shared" si="39"/>
        <v>150</v>
      </c>
    </row>
    <row r="152" spans="1:19">
      <c r="A152" s="23" t="s">
        <v>14</v>
      </c>
      <c r="B152" s="23"/>
      <c r="C152" s="23"/>
      <c r="D152" s="23"/>
      <c r="E152" s="23"/>
      <c r="F152" s="23"/>
      <c r="G152" s="23"/>
      <c r="H152" s="23"/>
      <c r="I152" s="23"/>
      <c r="J152" s="16"/>
      <c r="K152" s="16"/>
      <c r="L152" s="16"/>
      <c r="M152" s="16"/>
      <c r="N152" s="16"/>
      <c r="O152" s="16"/>
      <c r="P152" s="16"/>
      <c r="Q152" s="16"/>
    </row>
    <row r="153" spans="1:19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 spans="1:19">
      <c r="A154" s="24" t="s">
        <v>15</v>
      </c>
      <c r="B154" s="24"/>
      <c r="C154" s="24"/>
      <c r="D154" s="24"/>
      <c r="E154" s="24"/>
      <c r="F154" s="24"/>
      <c r="G154" s="24"/>
      <c r="H154" s="24"/>
    </row>
    <row r="155" spans="1:19">
      <c r="A155" s="21" t="s">
        <v>16</v>
      </c>
      <c r="B155" s="25" t="s">
        <v>17</v>
      </c>
      <c r="C155" s="26"/>
      <c r="D155" s="26"/>
      <c r="E155" s="26"/>
      <c r="F155" s="26"/>
      <c r="G155" s="26"/>
      <c r="H155" s="27"/>
    </row>
    <row r="156" spans="1:19">
      <c r="A156" s="19" t="s">
        <v>18</v>
      </c>
      <c r="B156" s="22" t="s">
        <v>25</v>
      </c>
      <c r="C156" s="22"/>
      <c r="D156" s="22"/>
      <c r="E156" s="22"/>
      <c r="F156" s="22"/>
      <c r="G156" s="22"/>
      <c r="H156" s="22"/>
    </row>
    <row r="157" spans="1:19">
      <c r="A157" s="19" t="s">
        <v>4</v>
      </c>
      <c r="B157" s="22" t="s">
        <v>19</v>
      </c>
      <c r="C157" s="22"/>
      <c r="D157" s="22"/>
      <c r="E157" s="22"/>
      <c r="F157" s="22"/>
      <c r="G157" s="22"/>
      <c r="H157" s="22"/>
    </row>
    <row r="158" spans="1:19">
      <c r="A158" s="19" t="s">
        <v>5</v>
      </c>
      <c r="B158" s="22" t="s">
        <v>46</v>
      </c>
      <c r="C158" s="22"/>
      <c r="D158" s="22"/>
      <c r="E158" s="22"/>
      <c r="F158" s="22"/>
      <c r="G158" s="22"/>
      <c r="H158" s="22"/>
    </row>
  </sheetData>
  <mergeCells count="143">
    <mergeCell ref="A39:R39"/>
    <mergeCell ref="C40:F40"/>
    <mergeCell ref="G40:J40"/>
    <mergeCell ref="K40:N40"/>
    <mergeCell ref="O40:R40"/>
    <mergeCell ref="C42:F42"/>
    <mergeCell ref="G42:J42"/>
    <mergeCell ref="K42:N42"/>
    <mergeCell ref="O42:R42"/>
    <mergeCell ref="A47:I47"/>
    <mergeCell ref="A49:H49"/>
    <mergeCell ref="B50:H50"/>
    <mergeCell ref="B51:H51"/>
    <mergeCell ref="B52:H52"/>
    <mergeCell ref="B53:H53"/>
    <mergeCell ref="A154:H154"/>
    <mergeCell ref="B155:H155"/>
    <mergeCell ref="B156:H156"/>
    <mergeCell ref="B157:H157"/>
    <mergeCell ref="B158:H158"/>
    <mergeCell ref="C147:F147"/>
    <mergeCell ref="G147:J147"/>
    <mergeCell ref="K147:N147"/>
    <mergeCell ref="O147:R147"/>
    <mergeCell ref="A152:I152"/>
    <mergeCell ref="A144:R144"/>
    <mergeCell ref="C145:F145"/>
    <mergeCell ref="G145:J145"/>
    <mergeCell ref="K145:N145"/>
    <mergeCell ref="O145:R145"/>
    <mergeCell ref="A138:H138"/>
    <mergeCell ref="B139:H139"/>
    <mergeCell ref="B140:H140"/>
    <mergeCell ref="B141:H141"/>
    <mergeCell ref="C131:F131"/>
    <mergeCell ref="G131:J131"/>
    <mergeCell ref="K131:N131"/>
    <mergeCell ref="O131:R131"/>
    <mergeCell ref="A136:I136"/>
    <mergeCell ref="B125:H125"/>
    <mergeCell ref="A128:R128"/>
    <mergeCell ref="C129:F129"/>
    <mergeCell ref="G129:J129"/>
    <mergeCell ref="K129:N129"/>
    <mergeCell ref="O129:R129"/>
    <mergeCell ref="A120:H120"/>
    <mergeCell ref="B121:H121"/>
    <mergeCell ref="B122:H122"/>
    <mergeCell ref="B123:H123"/>
    <mergeCell ref="B124:H124"/>
    <mergeCell ref="C113:F113"/>
    <mergeCell ref="G113:J113"/>
    <mergeCell ref="K113:N113"/>
    <mergeCell ref="O113:R113"/>
    <mergeCell ref="A118:I118"/>
    <mergeCell ref="B107:H107"/>
    <mergeCell ref="A110:R110"/>
    <mergeCell ref="C111:F111"/>
    <mergeCell ref="G111:J111"/>
    <mergeCell ref="K111:N111"/>
    <mergeCell ref="O111:R111"/>
    <mergeCell ref="A102:H102"/>
    <mergeCell ref="B103:H103"/>
    <mergeCell ref="B104:H104"/>
    <mergeCell ref="B105:H105"/>
    <mergeCell ref="B106:H106"/>
    <mergeCell ref="C95:F95"/>
    <mergeCell ref="G95:J95"/>
    <mergeCell ref="K95:N95"/>
    <mergeCell ref="O95:R95"/>
    <mergeCell ref="A100:I100"/>
    <mergeCell ref="A92:R92"/>
    <mergeCell ref="C93:F93"/>
    <mergeCell ref="G93:J93"/>
    <mergeCell ref="K93:N93"/>
    <mergeCell ref="O93:R93"/>
    <mergeCell ref="A84:H84"/>
    <mergeCell ref="B85:H85"/>
    <mergeCell ref="B86:H86"/>
    <mergeCell ref="B87:H87"/>
    <mergeCell ref="B88:H88"/>
    <mergeCell ref="C77:F77"/>
    <mergeCell ref="G77:J77"/>
    <mergeCell ref="K77:N77"/>
    <mergeCell ref="O77:R77"/>
    <mergeCell ref="A82:I82"/>
    <mergeCell ref="A74:R74"/>
    <mergeCell ref="C75:F75"/>
    <mergeCell ref="G75:J75"/>
    <mergeCell ref="K75:N75"/>
    <mergeCell ref="O75:R75"/>
    <mergeCell ref="A90:B90"/>
    <mergeCell ref="E90:F90"/>
    <mergeCell ref="B89:H89"/>
    <mergeCell ref="B17:H17"/>
    <mergeCell ref="B18:H18"/>
    <mergeCell ref="A21:R21"/>
    <mergeCell ref="C22:F22"/>
    <mergeCell ref="G22:J22"/>
    <mergeCell ref="K22:N22"/>
    <mergeCell ref="O22:R22"/>
    <mergeCell ref="C4:F4"/>
    <mergeCell ref="A3:R3"/>
    <mergeCell ref="A1:R1"/>
    <mergeCell ref="C6:F6"/>
    <mergeCell ref="A11:I11"/>
    <mergeCell ref="G4:J4"/>
    <mergeCell ref="K4:N4"/>
    <mergeCell ref="O4:R4"/>
    <mergeCell ref="O6:R6"/>
    <mergeCell ref="A13:H13"/>
    <mergeCell ref="B15:H15"/>
    <mergeCell ref="B16:H16"/>
    <mergeCell ref="G6:J6"/>
    <mergeCell ref="K6:N6"/>
    <mergeCell ref="B14:H14"/>
    <mergeCell ref="K24:N24"/>
    <mergeCell ref="O24:R24"/>
    <mergeCell ref="A29:I29"/>
    <mergeCell ref="A31:H31"/>
    <mergeCell ref="B32:H32"/>
    <mergeCell ref="C24:F24"/>
    <mergeCell ref="G24:J24"/>
    <mergeCell ref="B33:H33"/>
    <mergeCell ref="B34:H34"/>
    <mergeCell ref="B35:H35"/>
    <mergeCell ref="B36:H36"/>
    <mergeCell ref="A56:R56"/>
    <mergeCell ref="C57:F57"/>
    <mergeCell ref="G57:J57"/>
    <mergeCell ref="K57:N57"/>
    <mergeCell ref="O57:R57"/>
    <mergeCell ref="C59:F59"/>
    <mergeCell ref="G59:J59"/>
    <mergeCell ref="K59:N59"/>
    <mergeCell ref="O59:R59"/>
    <mergeCell ref="B70:H70"/>
    <mergeCell ref="B71:H71"/>
    <mergeCell ref="A64:I64"/>
    <mergeCell ref="A66:H66"/>
    <mergeCell ref="B67:H67"/>
    <mergeCell ref="B68:H68"/>
    <mergeCell ref="B69:H69"/>
  </mergeCells>
  <pageMargins left="0.51181102362204722" right="0.51181102362204722" top="0.78740157480314965" bottom="0.78740157480314965" header="0.31496062992125984" footer="0.31496062992125984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26803259802040BEC86DAF5DBCB00E" ma:contentTypeVersion="3" ma:contentTypeDescription="Create a new document." ma:contentTypeScope="" ma:versionID="269743eed48f344227f856cc9ec20259">
  <xsd:schema xmlns:xsd="http://www.w3.org/2001/XMLSchema" xmlns:xs="http://www.w3.org/2001/XMLSchema" xmlns:p="http://schemas.microsoft.com/office/2006/metadata/properties" xmlns:ns2="35d8ebea-5081-4b9d-a877-ca1f2179344a" targetNamespace="http://schemas.microsoft.com/office/2006/metadata/properties" ma:root="true" ma:fieldsID="6b123dbbc1db02c4c80be7d6f9f25dfa" ns2:_="">
    <xsd:import namespace="35d8ebea-5081-4b9d-a877-ca1f21793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8ebea-5081-4b9d-a877-ca1f21793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BA155-3A96-44FF-882E-41A85304FDD2}"/>
</file>

<file path=customXml/itemProps2.xml><?xml version="1.0" encoding="utf-8"?>
<ds:datastoreItem xmlns:ds="http://schemas.openxmlformats.org/officeDocument/2006/customXml" ds:itemID="{7C8CD6FA-B2C6-4947-9828-6F871DE15C3D}"/>
</file>

<file path=customXml/itemProps3.xml><?xml version="1.0" encoding="utf-8"?>
<ds:datastoreItem xmlns:ds="http://schemas.openxmlformats.org/officeDocument/2006/customXml" ds:itemID="{60561194-03B4-44EF-9C88-439CE4E4C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de Andrade Bernardes</cp:lastModifiedBy>
  <cp:revision/>
  <dcterms:created xsi:type="dcterms:W3CDTF">2017-05-22T12:59:26Z</dcterms:created>
  <dcterms:modified xsi:type="dcterms:W3CDTF">2026-09-03T12:50:47Z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0x0101004326803259802040BEC86DAF5DBCB00E</vt:lpwstr>
  </property>
</Properties>
</file>